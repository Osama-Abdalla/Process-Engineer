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I:\Semester 9\Project Production of Adipic Acid\"/>
    </mc:Choice>
  </mc:AlternateContent>
  <xr:revisionPtr revIDLastSave="0" documentId="13_ncr:1_{881D7B2E-585A-4622-A205-8B87627AAE9E}" xr6:coauthVersionLast="47" xr6:coauthVersionMax="47" xr10:uidLastSave="{00000000-0000-0000-0000-000000000000}"/>
  <bookViews>
    <workbookView xWindow="-108" yWindow="-108" windowWidth="23256" windowHeight="12456" xr2:uid="{805DAC94-4233-41D0-B583-ABF44B324B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3" i="1" l="1"/>
  <c r="R44" i="1"/>
  <c r="R45" i="1"/>
  <c r="R46" i="1"/>
  <c r="R47" i="1"/>
  <c r="R48" i="1"/>
  <c r="R49" i="1"/>
  <c r="R50" i="1"/>
  <c r="R51" i="1"/>
  <c r="R42" i="1"/>
  <c r="J92" i="1"/>
  <c r="S52" i="1"/>
  <c r="G58" i="1"/>
  <c r="Q42" i="1"/>
  <c r="P43" i="1"/>
  <c r="P42" i="1"/>
  <c r="Q43" i="1"/>
  <c r="Q44" i="1"/>
  <c r="Q45" i="1"/>
  <c r="Q46" i="1"/>
  <c r="Q47" i="1"/>
  <c r="Q48" i="1"/>
  <c r="Q49" i="1"/>
  <c r="Q50" i="1"/>
  <c r="Q51" i="1"/>
  <c r="P44" i="1"/>
  <c r="P45" i="1"/>
  <c r="P46" i="1"/>
  <c r="P47" i="1"/>
  <c r="P48" i="1"/>
  <c r="P49" i="1"/>
  <c r="P50" i="1"/>
  <c r="H42" i="1"/>
  <c r="S58" i="1"/>
  <c r="R58" i="1"/>
  <c r="G92" i="1" s="1"/>
  <c r="P58" i="1"/>
  <c r="Q58" i="1"/>
  <c r="S109" i="1" s="1"/>
  <c r="R59" i="1"/>
  <c r="G93" i="1" s="1"/>
  <c r="R60" i="1"/>
  <c r="G94" i="1" s="1"/>
  <c r="R61" i="1"/>
  <c r="G95" i="1" s="1"/>
  <c r="R62" i="1"/>
  <c r="G96" i="1" s="1"/>
  <c r="R63" i="1"/>
  <c r="G97" i="1" s="1"/>
  <c r="R64" i="1"/>
  <c r="G98" i="1" s="1"/>
  <c r="R65" i="1"/>
  <c r="G99" i="1" s="1"/>
  <c r="R66" i="1"/>
  <c r="G100" i="1" s="1"/>
  <c r="R67" i="1"/>
  <c r="G101" i="1" s="1"/>
  <c r="Q59" i="1"/>
  <c r="S110" i="1" s="1"/>
  <c r="Q60" i="1"/>
  <c r="S111" i="1" s="1"/>
  <c r="Q61" i="1"/>
  <c r="S112" i="1" s="1"/>
  <c r="Q62" i="1"/>
  <c r="S113" i="1" s="1"/>
  <c r="Q63" i="1"/>
  <c r="S114" i="1" s="1"/>
  <c r="Q64" i="1"/>
  <c r="S115" i="1" s="1"/>
  <c r="Q65" i="1"/>
  <c r="S116" i="1" s="1"/>
  <c r="Q66" i="1"/>
  <c r="S117" i="1" s="1"/>
  <c r="Q67" i="1"/>
  <c r="S118" i="1" s="1"/>
  <c r="R110" i="1" l="1"/>
  <c r="R111" i="1"/>
  <c r="R112" i="1"/>
  <c r="R113" i="1"/>
  <c r="R114" i="1"/>
  <c r="R115" i="1"/>
  <c r="R116" i="1"/>
  <c r="R117" i="1"/>
  <c r="R118" i="1"/>
  <c r="R109" i="1"/>
  <c r="Q110" i="1"/>
  <c r="Q111" i="1"/>
  <c r="Q112" i="1"/>
  <c r="Q113" i="1"/>
  <c r="Q114" i="1"/>
  <c r="Q115" i="1"/>
  <c r="Q116" i="1"/>
  <c r="Q117" i="1"/>
  <c r="Q118" i="1"/>
  <c r="Q109" i="1"/>
  <c r="P110" i="1"/>
  <c r="P111" i="1"/>
  <c r="P112" i="1"/>
  <c r="P113" i="1"/>
  <c r="P114" i="1"/>
  <c r="P115" i="1"/>
  <c r="P116" i="1"/>
  <c r="P117" i="1"/>
  <c r="P118" i="1"/>
  <c r="P109" i="1"/>
  <c r="J93" i="1"/>
  <c r="J94" i="1"/>
  <c r="J95" i="1"/>
  <c r="J96" i="1"/>
  <c r="J97" i="1"/>
  <c r="J98" i="1"/>
  <c r="J99" i="1"/>
  <c r="J100" i="1"/>
  <c r="J101" i="1"/>
  <c r="I93" i="1"/>
  <c r="U110" i="1" s="1"/>
  <c r="I94" i="1"/>
  <c r="U111" i="1" s="1"/>
  <c r="I95" i="1"/>
  <c r="U112" i="1" s="1"/>
  <c r="I96" i="1"/>
  <c r="U113" i="1" s="1"/>
  <c r="I97" i="1"/>
  <c r="U114" i="1" s="1"/>
  <c r="I98" i="1"/>
  <c r="U115" i="1" s="1"/>
  <c r="I99" i="1"/>
  <c r="U116" i="1" s="1"/>
  <c r="I100" i="1"/>
  <c r="U117" i="1" s="1"/>
  <c r="I101" i="1"/>
  <c r="U118" i="1" s="1"/>
  <c r="I92" i="1"/>
  <c r="U109" i="1" s="1"/>
  <c r="S93" i="1"/>
  <c r="X110" i="1" s="1"/>
  <c r="S94" i="1"/>
  <c r="X111" i="1" s="1"/>
  <c r="S95" i="1"/>
  <c r="X112" i="1" s="1"/>
  <c r="S96" i="1"/>
  <c r="X113" i="1" s="1"/>
  <c r="S97" i="1"/>
  <c r="X114" i="1" s="1"/>
  <c r="S98" i="1"/>
  <c r="X115" i="1" s="1"/>
  <c r="S99" i="1"/>
  <c r="X116" i="1" s="1"/>
  <c r="S100" i="1"/>
  <c r="X117" i="1" s="1"/>
  <c r="S101" i="1"/>
  <c r="X118" i="1" s="1"/>
  <c r="R93" i="1"/>
  <c r="W110" i="1" s="1"/>
  <c r="R94" i="1"/>
  <c r="W111" i="1" s="1"/>
  <c r="R95" i="1"/>
  <c r="W112" i="1" s="1"/>
  <c r="R96" i="1"/>
  <c r="W113" i="1" s="1"/>
  <c r="R97" i="1"/>
  <c r="W114" i="1" s="1"/>
  <c r="R98" i="1"/>
  <c r="W115" i="1" s="1"/>
  <c r="R99" i="1"/>
  <c r="W116" i="1" s="1"/>
  <c r="R100" i="1"/>
  <c r="W117" i="1" s="1"/>
  <c r="R101" i="1"/>
  <c r="W118" i="1" s="1"/>
  <c r="P93" i="1"/>
  <c r="P94" i="1"/>
  <c r="P95" i="1"/>
  <c r="P96" i="1"/>
  <c r="P97" i="1"/>
  <c r="P98" i="1"/>
  <c r="P99" i="1"/>
  <c r="P100" i="1"/>
  <c r="P101" i="1"/>
  <c r="S92" i="1"/>
  <c r="X109" i="1" s="1"/>
  <c r="R92" i="1"/>
  <c r="W109" i="1" s="1"/>
  <c r="P92" i="1"/>
  <c r="S76" i="1"/>
  <c r="S77" i="1"/>
  <c r="S78" i="1"/>
  <c r="S79" i="1"/>
  <c r="S80" i="1"/>
  <c r="S81" i="1"/>
  <c r="S82" i="1"/>
  <c r="S83" i="1"/>
  <c r="S84" i="1"/>
  <c r="R76" i="1"/>
  <c r="V110" i="1" s="1"/>
  <c r="R77" i="1"/>
  <c r="V111" i="1" s="1"/>
  <c r="R78" i="1"/>
  <c r="V112" i="1" s="1"/>
  <c r="R79" i="1"/>
  <c r="V113" i="1" s="1"/>
  <c r="R80" i="1"/>
  <c r="V114" i="1" s="1"/>
  <c r="R81" i="1"/>
  <c r="V115" i="1" s="1"/>
  <c r="R82" i="1"/>
  <c r="V116" i="1" s="1"/>
  <c r="R83" i="1"/>
  <c r="V117" i="1" s="1"/>
  <c r="R84" i="1"/>
  <c r="V118" i="1" s="1"/>
  <c r="R75" i="1"/>
  <c r="V109" i="1" s="1"/>
  <c r="P76" i="1"/>
  <c r="P77" i="1"/>
  <c r="P78" i="1"/>
  <c r="P79" i="1"/>
  <c r="P80" i="1"/>
  <c r="P81" i="1"/>
  <c r="P82" i="1"/>
  <c r="P83" i="1"/>
  <c r="P84" i="1"/>
  <c r="S75" i="1"/>
  <c r="P75" i="1"/>
  <c r="I76" i="1"/>
  <c r="I77" i="1"/>
  <c r="I78" i="1"/>
  <c r="I79" i="1"/>
  <c r="I80" i="1"/>
  <c r="I81" i="1"/>
  <c r="I82" i="1"/>
  <c r="I83" i="1"/>
  <c r="I84" i="1"/>
  <c r="G76" i="1"/>
  <c r="G77" i="1"/>
  <c r="G78" i="1"/>
  <c r="G79" i="1"/>
  <c r="G80" i="1"/>
  <c r="G81" i="1"/>
  <c r="G82" i="1"/>
  <c r="G83" i="1"/>
  <c r="G84" i="1"/>
  <c r="I75" i="1"/>
  <c r="G75" i="1"/>
  <c r="S59" i="1"/>
  <c r="T110" i="1" s="1"/>
  <c r="S60" i="1"/>
  <c r="T111" i="1" s="1"/>
  <c r="S61" i="1"/>
  <c r="T112" i="1" s="1"/>
  <c r="S62" i="1"/>
  <c r="T113" i="1" s="1"/>
  <c r="S63" i="1"/>
  <c r="T114" i="1" s="1"/>
  <c r="S64" i="1"/>
  <c r="T115" i="1" s="1"/>
  <c r="S65" i="1"/>
  <c r="T116" i="1" s="1"/>
  <c r="S66" i="1"/>
  <c r="T117" i="1" s="1"/>
  <c r="S67" i="1"/>
  <c r="T118" i="1" s="1"/>
  <c r="P59" i="1"/>
  <c r="P60" i="1"/>
  <c r="P61" i="1"/>
  <c r="P62" i="1"/>
  <c r="P63" i="1"/>
  <c r="P64" i="1"/>
  <c r="P65" i="1"/>
  <c r="P66" i="1"/>
  <c r="P67" i="1"/>
  <c r="T109" i="1"/>
  <c r="J42" i="1"/>
  <c r="I59" i="1"/>
  <c r="I60" i="1"/>
  <c r="I61" i="1"/>
  <c r="I62" i="1"/>
  <c r="I63" i="1"/>
  <c r="I64" i="1"/>
  <c r="I65" i="1"/>
  <c r="I66" i="1"/>
  <c r="I67" i="1"/>
  <c r="I58" i="1"/>
  <c r="G59" i="1"/>
  <c r="G60" i="1"/>
  <c r="G61" i="1"/>
  <c r="G62" i="1"/>
  <c r="G63" i="1"/>
  <c r="G64" i="1"/>
  <c r="G65" i="1"/>
  <c r="G66" i="1"/>
  <c r="G67" i="1"/>
  <c r="J43" i="1"/>
  <c r="J44" i="1"/>
  <c r="J45" i="1"/>
  <c r="J46" i="1"/>
  <c r="J47" i="1"/>
  <c r="J48" i="1"/>
  <c r="J49" i="1"/>
  <c r="J50" i="1"/>
  <c r="J51" i="1"/>
  <c r="I43" i="1"/>
  <c r="I44" i="1"/>
  <c r="I45" i="1"/>
  <c r="I46" i="1"/>
  <c r="I47" i="1"/>
  <c r="I48" i="1"/>
  <c r="I49" i="1"/>
  <c r="I50" i="1"/>
  <c r="I51" i="1"/>
  <c r="I42" i="1"/>
  <c r="H43" i="1"/>
  <c r="H44" i="1"/>
  <c r="H45" i="1"/>
  <c r="H46" i="1"/>
  <c r="H47" i="1"/>
  <c r="H48" i="1"/>
  <c r="H49" i="1"/>
  <c r="H50" i="1"/>
  <c r="H51" i="1"/>
  <c r="G51" i="1"/>
  <c r="G43" i="1"/>
  <c r="G42" i="1"/>
  <c r="G44" i="1"/>
  <c r="G45" i="1"/>
  <c r="G46" i="1"/>
  <c r="G47" i="1"/>
  <c r="G48" i="1"/>
  <c r="G49" i="1"/>
  <c r="G50" i="1"/>
  <c r="G68" i="1" l="1"/>
  <c r="P52" i="1"/>
  <c r="P119" i="1"/>
  <c r="I102" i="1"/>
  <c r="G102" i="1"/>
  <c r="R85" i="1"/>
  <c r="I68" i="1"/>
  <c r="R102" i="1"/>
  <c r="P102" i="1"/>
  <c r="P85" i="1"/>
  <c r="G85" i="1"/>
  <c r="I85" i="1"/>
  <c r="R68" i="1"/>
  <c r="P68" i="1"/>
  <c r="I52" i="1"/>
  <c r="G52" i="1"/>
</calcChain>
</file>

<file path=xl/sharedStrings.xml><?xml version="1.0" encoding="utf-8"?>
<sst xmlns="http://schemas.openxmlformats.org/spreadsheetml/2006/main" count="350" uniqueCount="188">
  <si>
    <t>Units</t>
  </si>
  <si>
    <t>OF-GAS</t>
  </si>
  <si>
    <t>S1</t>
  </si>
  <si>
    <t>S4</t>
  </si>
  <si>
    <t>Temperature</t>
  </si>
  <si>
    <t>C</t>
  </si>
  <si>
    <t>Pressure</t>
  </si>
  <si>
    <t>bar</t>
  </si>
  <si>
    <t>Mass Vapor Fraction</t>
  </si>
  <si>
    <t>Mass Liquid Fraction</t>
  </si>
  <si>
    <t>Mass Solid Fraction</t>
  </si>
  <si>
    <t>Mass Flows</t>
  </si>
  <si>
    <t>kg/hr</t>
  </si>
  <si>
    <r>
      <t xml:space="preserve">                                                                                                                                                   </t>
    </r>
    <r>
      <rPr>
        <sz val="9"/>
        <color rgb="FF434343"/>
        <rFont val="Times New Roman"/>
        <family val="1"/>
      </rPr>
      <t xml:space="preserve">    Mass Fractions</t>
    </r>
  </si>
  <si>
    <t>C6H12O-1</t>
  </si>
  <si>
    <t>C6H10O</t>
  </si>
  <si>
    <t>H2O</t>
  </si>
  <si>
    <t>O2</t>
  </si>
  <si>
    <t>ADIPIC-A</t>
  </si>
  <si>
    <t>HNO3</t>
  </si>
  <si>
    <t>N2</t>
  </si>
  <si>
    <t>NO</t>
  </si>
  <si>
    <t>NO2</t>
  </si>
  <si>
    <t>N2O</t>
  </si>
  <si>
    <t>UNITS</t>
  </si>
  <si>
    <t>R-101</t>
  </si>
  <si>
    <t>B-101</t>
  </si>
  <si>
    <t>A-101</t>
  </si>
  <si>
    <t>CR-101</t>
  </si>
  <si>
    <t>DR-101</t>
  </si>
  <si>
    <t>F-101</t>
  </si>
  <si>
    <t>V-101</t>
  </si>
  <si>
    <t>Heat transfer rate kW</t>
  </si>
  <si>
    <t xml:space="preserve"> The Heating requirements of each unit as obtained from ASPEN Plus Simulation </t>
  </si>
  <si>
    <t>total</t>
  </si>
  <si>
    <t>Component / stream</t>
  </si>
  <si>
    <t>Bleacher B-101</t>
  </si>
  <si>
    <t>stream 5</t>
  </si>
  <si>
    <t>stream 6</t>
  </si>
  <si>
    <t>stream 7</t>
  </si>
  <si>
    <t>stream 11</t>
  </si>
  <si>
    <t>Reactor-R-101</t>
  </si>
  <si>
    <t>stream 8</t>
  </si>
  <si>
    <t>stream 12</t>
  </si>
  <si>
    <t>stream 13</t>
  </si>
  <si>
    <t>stream 14</t>
  </si>
  <si>
    <t>stream 15</t>
  </si>
  <si>
    <t>stream 16</t>
  </si>
  <si>
    <t>stream 3</t>
  </si>
  <si>
    <t>stream 4</t>
  </si>
  <si>
    <t>Absorber-A101</t>
  </si>
  <si>
    <t>OFF-GASS</t>
  </si>
  <si>
    <t>Crystallizer-CR-101</t>
  </si>
  <si>
    <t>Dryer-DR-101</t>
  </si>
  <si>
    <t>Filter-F-101</t>
  </si>
  <si>
    <t>stream 9</t>
  </si>
  <si>
    <t>stream 10</t>
  </si>
  <si>
    <t>Separator-V-101</t>
  </si>
  <si>
    <t>Over All MB</t>
  </si>
  <si>
    <t>stream 1</t>
  </si>
  <si>
    <t>stream 2</t>
  </si>
  <si>
    <t>0.55</t>
  </si>
  <si>
    <t>0.14513339193262</t>
  </si>
  <si>
    <t>0.00145133391932619</t>
  </si>
  <si>
    <t>0.000206569336044523</t>
  </si>
  <si>
    <t>0.000296324160873529</t>
  </si>
  <si>
    <t>0.000187770115217968</t>
  </si>
  <si>
    <t>0.000408749883759336</t>
  </si>
  <si>
    <t>0.00163209016342186</t>
  </si>
  <si>
    <t>0.00316867673718678</t>
  </si>
  <si>
    <t>3.36204874839953E-06</t>
  </si>
  <si>
    <t>0.00323081692185834</t>
  </si>
  <si>
    <t>3.32853341240307E-06</t>
  </si>
  <si>
    <t>0.000169738468299393</t>
  </si>
  <si>
    <t>0.45</t>
  </si>
  <si>
    <t>0.119046813758885</t>
  </si>
  <si>
    <t>0.00238093627517769</t>
  </si>
  <si>
    <t>0.000701393126145959</t>
  </si>
  <si>
    <t>0.00100568801500154</t>
  </si>
  <si>
    <t>0.000702357905982411</t>
  </si>
  <si>
    <t>0.00131983666394009</t>
  </si>
  <si>
    <t>0.00225410438936049</t>
  </si>
  <si>
    <t>0.00437630732776558</t>
  </si>
  <si>
    <t>4.64337633475E-06</t>
  </si>
  <si>
    <t>0.00446213007589743</t>
  </si>
  <si>
    <t>1.16928744429993E-05</t>
  </si>
  <si>
    <t>0.000548073563484503</t>
  </si>
  <si>
    <t>0.394626498912827</t>
  </si>
  <si>
    <t>0.269270730315428</t>
  </si>
  <si>
    <t>0.337018362062518</t>
  </si>
  <si>
    <t>0.0753026615638512</t>
  </si>
  <si>
    <t>0.609524059635375</t>
  </si>
  <si>
    <t>0.884317311313684</t>
  </si>
  <si>
    <t>0.324930060604678</t>
  </si>
  <si>
    <t>0.34706920047097</t>
  </si>
  <si>
    <t>0.67382925672478</t>
  </si>
  <si>
    <t>0.00071495043423642</t>
  </si>
  <si>
    <t>0.687043566016283</t>
  </si>
  <si>
    <t>0.162866730889437</t>
  </si>
  <si>
    <t>0.365683889760362</t>
  </si>
  <si>
    <t>0.000218426451573721</t>
  </si>
  <si>
    <t>0.21</t>
  </si>
  <si>
    <t>0.0833456688864719</t>
  </si>
  <si>
    <t>0.000350902925230498</t>
  </si>
  <si>
    <t>3.02225735014009E-53</t>
  </si>
  <si>
    <t>0.000714321117464074</t>
  </si>
  <si>
    <t>0.00141278999959475</t>
  </si>
  <si>
    <t>0.00274290900501486</t>
  </si>
  <si>
    <t>2.91029806829438E-06</t>
  </si>
  <si>
    <t>0.00279669955742704</t>
  </si>
  <si>
    <t>0.075716936385208</t>
  </si>
  <si>
    <t>0.000296634670780834</t>
  </si>
  <si>
    <t>5.93928328467201E-14</t>
  </si>
  <si>
    <t>0.383366315456972</t>
  </si>
  <si>
    <t>7.68022435692771E-08</t>
  </si>
  <si>
    <t>1.11634896293375E-07</t>
  </si>
  <si>
    <t>2.1942516201986E-07</t>
  </si>
  <si>
    <t>1.9423164518545E-13</t>
  </si>
  <si>
    <t>0.494836743537123</t>
  </si>
  <si>
    <t>0.0192336826052595</t>
  </si>
  <si>
    <t>0.998959381330644</t>
  </si>
  <si>
    <t>1.01796173187844E-07</t>
  </si>
  <si>
    <t>1.73850183634377E-36</t>
  </si>
  <si>
    <t>8.06586074685267E-14</t>
  </si>
  <si>
    <t>0.605373501087172</t>
  </si>
  <si>
    <t>0.430536543538259</t>
  </si>
  <si>
    <t>0.137394397968638</t>
  </si>
  <si>
    <t>0.058992669004025</t>
  </si>
  <si>
    <t>0.331319600988694</t>
  </si>
  <si>
    <t>0.114792341239953</t>
  </si>
  <si>
    <t>0.555569499320228</t>
  </si>
  <si>
    <t>0.108448885306402</t>
  </si>
  <si>
    <t>0.210551762240729</t>
  </si>
  <si>
    <t>0.00022340091698443</t>
  </si>
  <si>
    <t>0.214680844022728</t>
  </si>
  <si>
    <t>0.00115524266268799</t>
  </si>
  <si>
    <t>0.584691391227796</t>
  </si>
  <si>
    <t>5.72008509892827E-10</t>
  </si>
  <si>
    <t>1.75262196985492E-06</t>
  </si>
  <si>
    <t>9.18935091037853E-10</t>
  </si>
  <si>
    <t>5.12017351084369E-84</t>
  </si>
  <si>
    <t>1.87064482484986E-09</t>
  </si>
  <si>
    <t>8.16202029056356E-23</t>
  </si>
  <si>
    <t>1.58622930864263E-22</t>
  </si>
  <si>
    <t>1.68134768025153E-22</t>
  </si>
  <si>
    <t>1.61571914728179E-19</t>
  </si>
  <si>
    <t>5.52264533707531E-08</t>
  </si>
  <si>
    <t>7.76817802026265E-10</t>
  </si>
  <si>
    <t>0.0226734717789919</t>
  </si>
  <si>
    <t>0.15000905531598</t>
  </si>
  <si>
    <t>0.036424973884167</t>
  </si>
  <si>
    <t>9.92391181088938E-21</t>
  </si>
  <si>
    <t>0.0741490770743694</t>
  </si>
  <si>
    <t>0.0184031964603966</t>
  </si>
  <si>
    <t>0.0357295092028956</t>
  </si>
  <si>
    <t>3.79099421177225E-05</t>
  </si>
  <si>
    <t>0.0364301923221409</t>
  </si>
  <si>
    <t>0.00113011442044361</t>
  </si>
  <si>
    <t>0.030791773561133</t>
  </si>
  <si>
    <t>0.0131206216521749</t>
  </si>
  <si>
    <t>0.115496755514794</t>
  </si>
  <si>
    <t>0.79</t>
  </si>
  <si>
    <t>0.631440153343268</t>
  </si>
  <si>
    <t>0.0210783378368268</t>
  </si>
  <si>
    <t>8.40527336658036E-32</t>
  </si>
  <si>
    <t>0.0429084534647213</t>
  </si>
  <si>
    <t>0.025942989672732</t>
  </si>
  <si>
    <t>0.0503678961563684</t>
  </si>
  <si>
    <t>5.34416528655994E-05</t>
  </si>
  <si>
    <t>0.051355649287492</t>
  </si>
  <si>
    <t>0.759115899007914</t>
  </si>
  <si>
    <t>0.0178184979712459</t>
  </si>
  <si>
    <t>Input Kg/h</t>
  </si>
  <si>
    <t>Output Kg/h</t>
  </si>
  <si>
    <t>Mixure MX-102</t>
  </si>
  <si>
    <t>19822.3142992867</t>
  </si>
  <si>
    <t>53822.5781342922</t>
  </si>
  <si>
    <t>53822.5781342921</t>
  </si>
  <si>
    <t>47000.4239286291</t>
  </si>
  <si>
    <t>11957.2973826349</t>
  </si>
  <si>
    <t>19999.9999826894</t>
  </si>
  <si>
    <t>42822.1542056677</t>
  </si>
  <si>
    <t>22818.7084410137</t>
  </si>
  <si>
    <t>20003.445764654</t>
  </si>
  <si>
    <t>22.4333660438156</t>
  </si>
  <si>
    <t>19981.0123986102</t>
  </si>
  <si>
    <t>39043.1265633047</t>
  </si>
  <si>
    <t>39822.5781342921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</si>
</sst>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color rgb="FFFFFFFF"/>
      <name val="Times New Roman"/>
      <family val="1"/>
    </font>
    <font>
      <sz val="8"/>
      <color rgb="FF434343"/>
      <name val="Times New Roman"/>
      <family val="1"/>
    </font>
    <font>
      <sz val="6"/>
      <color rgb="FF434343"/>
      <name val="Times New Roman"/>
      <family val="1"/>
    </font>
    <font>
      <sz val="8"/>
      <color rgb="FF000000"/>
      <name val="Times New Roman"/>
      <family val="1"/>
    </font>
    <font>
      <sz val="9"/>
      <color rgb="FF434343"/>
      <name val="Times New Roman"/>
      <family val="1"/>
    </font>
    <font>
      <sz val="9"/>
      <color theme="1"/>
      <name val="Times New Roman"/>
      <family val="1"/>
    </font>
    <font>
      <b/>
      <sz val="10"/>
      <color rgb="FF434343"/>
      <name val="Times New Roman"/>
      <family val="1"/>
    </font>
    <font>
      <sz val="10"/>
      <color rgb="FF434343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0"/>
      <color theme="1"/>
      <name val="Calibri"/>
      <scheme val="minor"/>
    </font>
    <font>
      <sz val="10"/>
      <color rgb="FF434343"/>
      <name val="Roboto"/>
    </font>
    <font>
      <sz val="10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7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/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/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6F8F9"/>
      </right>
      <top/>
      <bottom style="medium">
        <color rgb="FFF6F8F9"/>
      </bottom>
      <diagonal/>
    </border>
    <border>
      <left/>
      <right style="medium">
        <color rgb="FFF6F8F9"/>
      </right>
      <top/>
      <bottom style="medium">
        <color rgb="FFF6F8F9"/>
      </bottom>
      <diagonal/>
    </border>
    <border>
      <left/>
      <right style="medium">
        <color rgb="FF284E3F"/>
      </right>
      <top/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/>
      <bottom style="medium">
        <color rgb="FFF6F8F9"/>
      </bottom>
      <diagonal/>
    </border>
    <border>
      <left/>
      <right style="medium">
        <color rgb="FFFFFFFF"/>
      </right>
      <top/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284E3F"/>
      </top>
      <bottom/>
      <diagonal/>
    </border>
    <border>
      <left style="medium">
        <color rgb="FFF6F8F9"/>
      </left>
      <right style="medium">
        <color rgb="FFF6F8F9"/>
      </right>
      <top style="medium">
        <color rgb="FF284E3F"/>
      </top>
      <bottom/>
      <diagonal/>
    </border>
    <border>
      <left style="medium">
        <color rgb="FFF6F8F9"/>
      </left>
      <right style="medium">
        <color rgb="FFF6F8F9"/>
      </right>
      <top/>
      <bottom style="medium">
        <color rgb="FFF6F8F9"/>
      </bottom>
      <diagonal/>
    </border>
    <border>
      <left style="medium">
        <color rgb="FFF6F8F9"/>
      </left>
      <right style="medium">
        <color rgb="FF284E3F"/>
      </right>
      <top style="medium">
        <color rgb="FF284E3F"/>
      </top>
      <bottom/>
      <diagonal/>
    </border>
    <border>
      <left style="medium">
        <color rgb="FFF6F8F9"/>
      </left>
      <right style="medium">
        <color rgb="FF284E3F"/>
      </right>
      <top/>
      <bottom style="medium">
        <color rgb="FFF6F8F9"/>
      </bottom>
      <diagonal/>
    </border>
    <border>
      <left style="medium">
        <color rgb="FF284E3F"/>
      </left>
      <right/>
      <top style="medium">
        <color rgb="FFF6F8F9"/>
      </top>
      <bottom style="medium">
        <color rgb="FFF6F8F9"/>
      </bottom>
      <diagonal/>
    </border>
    <border>
      <left/>
      <right/>
      <top style="medium">
        <color rgb="FFF6F8F9"/>
      </top>
      <bottom style="medium">
        <color rgb="FFF6F8F9"/>
      </bottom>
      <diagonal/>
    </border>
    <border>
      <left/>
      <right style="medium">
        <color rgb="FFF6F8F9"/>
      </right>
      <top style="medium">
        <color rgb="FFF6F8F9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/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/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/>
      <bottom style="medium">
        <color rgb="FF284E3F"/>
      </bottom>
      <diagonal/>
    </border>
    <border>
      <left/>
      <right style="medium">
        <color rgb="FFF6F8F9"/>
      </right>
      <top/>
      <bottom style="medium">
        <color rgb="FF284E3F"/>
      </bottom>
      <diagonal/>
    </border>
    <border>
      <left/>
      <right style="medium">
        <color rgb="FF284E3F"/>
      </right>
      <top/>
      <bottom style="medium">
        <color rgb="FF284E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356854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horizontal="right" vertical="center" wrapText="1"/>
    </xf>
    <xf numFmtId="0" fontId="4" fillId="4" borderId="6" xfId="0" applyFont="1" applyFill="1" applyBorder="1" applyAlignment="1">
      <alignment horizontal="right" vertical="center" wrapText="1"/>
    </xf>
    <xf numFmtId="0" fontId="1" fillId="4" borderId="8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right" vertical="center" wrapText="1"/>
    </xf>
    <xf numFmtId="0" fontId="4" fillId="3" borderId="6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  <xf numFmtId="0" fontId="8" fillId="4" borderId="17" xfId="0" applyFont="1" applyFill="1" applyBorder="1" applyAlignment="1">
      <alignment vertical="center" wrapText="1"/>
    </xf>
    <xf numFmtId="0" fontId="9" fillId="4" borderId="18" xfId="0" applyFont="1" applyFill="1" applyBorder="1" applyAlignment="1">
      <alignment vertical="center" wrapText="1"/>
    </xf>
    <xf numFmtId="0" fontId="9" fillId="4" borderId="19" xfId="0" applyFont="1" applyFill="1" applyBorder="1" applyAlignment="1">
      <alignment vertical="center" wrapText="1"/>
    </xf>
    <xf numFmtId="0" fontId="8" fillId="3" borderId="20" xfId="0" applyFont="1" applyFill="1" applyBorder="1" applyAlignment="1">
      <alignment vertical="center" wrapText="1"/>
    </xf>
    <xf numFmtId="0" fontId="7" fillId="0" borderId="0" xfId="0" applyFont="1" applyAlignment="1">
      <alignment vertical="center"/>
    </xf>
    <xf numFmtId="0" fontId="0" fillId="0" borderId="23" xfId="0" applyBorder="1" applyAlignment="1">
      <alignment vertical="center"/>
    </xf>
    <xf numFmtId="0" fontId="0" fillId="0" borderId="23" xfId="0" applyBorder="1"/>
    <xf numFmtId="0" fontId="9" fillId="3" borderId="21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12" fillId="7" borderId="0" xfId="0" applyFont="1" applyFill="1" applyAlignment="1">
      <alignment vertical="center"/>
    </xf>
    <xf numFmtId="0" fontId="12" fillId="8" borderId="0" xfId="0" applyFont="1" applyFill="1" applyAlignment="1">
      <alignment vertical="center"/>
    </xf>
    <xf numFmtId="0" fontId="12" fillId="7" borderId="34" xfId="0" applyFont="1" applyFill="1" applyBorder="1" applyAlignment="1">
      <alignment vertical="center"/>
    </xf>
    <xf numFmtId="0" fontId="0" fillId="6" borderId="23" xfId="0" applyFill="1" applyBorder="1"/>
    <xf numFmtId="0" fontId="13" fillId="8" borderId="35" xfId="0" applyFont="1" applyFill="1" applyBorder="1" applyAlignment="1">
      <alignment horizontal="right" vertical="center"/>
    </xf>
    <xf numFmtId="0" fontId="13" fillId="8" borderId="35" xfId="0" applyFont="1" applyFill="1" applyBorder="1" applyAlignment="1">
      <alignment vertical="center"/>
    </xf>
    <xf numFmtId="0" fontId="14" fillId="8" borderId="36" xfId="0" applyFont="1" applyFill="1" applyBorder="1" applyAlignment="1">
      <alignment vertical="center"/>
    </xf>
    <xf numFmtId="0" fontId="10" fillId="0" borderId="24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0" fillId="5" borderId="23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33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5" xfId="0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4" fillId="3" borderId="12" xfId="0" applyFont="1" applyFill="1" applyBorder="1" applyAlignment="1">
      <alignment horizontal="right" vertical="center" wrapText="1"/>
    </xf>
    <xf numFmtId="0" fontId="4" fillId="3" borderId="13" xfId="0" applyFont="1" applyFill="1" applyBorder="1" applyAlignment="1">
      <alignment horizontal="right" vertical="center" wrapText="1"/>
    </xf>
    <xf numFmtId="0" fontId="4" fillId="3" borderId="14" xfId="0" applyFont="1" applyFill="1" applyBorder="1" applyAlignment="1">
      <alignment vertical="center" wrapText="1"/>
    </xf>
    <xf numFmtId="0" fontId="4" fillId="3" borderId="15" xfId="0" applyFont="1" applyFill="1" applyBorder="1" applyAlignment="1">
      <alignment vertical="center" wrapText="1"/>
    </xf>
    <xf numFmtId="0" fontId="4" fillId="3" borderId="16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horizontal="right" vertical="center" wrapText="1"/>
    </xf>
    <xf numFmtId="0" fontId="4" fillId="3" borderId="11" xfId="0" applyFont="1" applyFill="1" applyBorder="1" applyAlignment="1">
      <alignment horizontal="right" vertical="center" wrapText="1"/>
    </xf>
    <xf numFmtId="0" fontId="3" fillId="3" borderId="9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10" xfId="0" applyFont="1" applyFill="1" applyBorder="1" applyAlignment="1">
      <alignment vertical="center" wrapText="1"/>
    </xf>
    <xf numFmtId="0" fontId="3" fillId="3" borderId="11" xfId="0" applyFont="1" applyFill="1" applyBorder="1" applyAlignment="1">
      <alignment vertical="center" wrapText="1"/>
    </xf>
    <xf numFmtId="2" fontId="0" fillId="0" borderId="0" xfId="0" applyNumberFormat="1" applyAlignment="1">
      <alignment horizontal="center"/>
    </xf>
    <xf numFmtId="2" fontId="0" fillId="0" borderId="25" xfId="0" applyNumberFormat="1" applyBorder="1" applyAlignment="1">
      <alignment horizontal="center"/>
    </xf>
    <xf numFmtId="2" fontId="0" fillId="6" borderId="23" xfId="0" applyNumberFormat="1" applyFill="1" applyBorder="1" applyAlignment="1">
      <alignment horizontal="center" vertical="center"/>
    </xf>
    <xf numFmtId="2" fontId="0" fillId="6" borderId="24" xfId="0" applyNumberFormat="1" applyFill="1" applyBorder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0" fillId="0" borderId="23" xfId="0" applyNumberFormat="1" applyBorder="1" applyAlignment="1">
      <alignment vertical="center"/>
    </xf>
    <xf numFmtId="2" fontId="10" fillId="0" borderId="24" xfId="0" applyNumberFormat="1" applyFont="1" applyBorder="1" applyAlignment="1">
      <alignment horizontal="center"/>
    </xf>
    <xf numFmtId="2" fontId="10" fillId="0" borderId="25" xfId="0" applyNumberFormat="1" applyFont="1" applyBorder="1" applyAlignment="1">
      <alignment horizontal="center"/>
    </xf>
    <xf numFmtId="2" fontId="0" fillId="0" borderId="23" xfId="0" applyNumberFormat="1" applyBorder="1"/>
    <xf numFmtId="2" fontId="10" fillId="0" borderId="26" xfId="0" applyNumberFormat="1" applyFont="1" applyBorder="1" applyAlignment="1">
      <alignment horizontal="center"/>
    </xf>
    <xf numFmtId="2" fontId="10" fillId="0" borderId="27" xfId="0" applyNumberFormat="1" applyFont="1" applyBorder="1" applyAlignment="1">
      <alignment horizontal="center"/>
    </xf>
    <xf numFmtId="2" fontId="0" fillId="5" borderId="23" xfId="0" applyNumberFormat="1" applyFill="1" applyBorder="1" applyAlignment="1">
      <alignment horizontal="center" vertical="center"/>
    </xf>
    <xf numFmtId="2" fontId="0" fillId="5" borderId="28" xfId="0" applyNumberFormat="1" applyFill="1" applyBorder="1" applyAlignment="1">
      <alignment horizontal="center" vertical="center"/>
    </xf>
    <xf numFmtId="2" fontId="0" fillId="5" borderId="29" xfId="0" applyNumberFormat="1" applyFill="1" applyBorder="1" applyAlignment="1">
      <alignment horizontal="center" vertical="center"/>
    </xf>
    <xf numFmtId="2" fontId="0" fillId="5" borderId="26" xfId="0" applyNumberFormat="1" applyFill="1" applyBorder="1" applyAlignment="1">
      <alignment horizontal="center" vertical="center"/>
    </xf>
    <xf numFmtId="2" fontId="0" fillId="5" borderId="27" xfId="0" applyNumberFormat="1" applyFill="1" applyBorder="1" applyAlignment="1">
      <alignment horizontal="center" vertical="center"/>
    </xf>
    <xf numFmtId="2" fontId="0" fillId="0" borderId="30" xfId="0" applyNumberFormat="1" applyBorder="1" applyAlignment="1">
      <alignment horizontal="center" vertical="center"/>
    </xf>
    <xf numFmtId="2" fontId="0" fillId="0" borderId="31" xfId="0" applyNumberFormat="1" applyBorder="1" applyAlignment="1">
      <alignment horizontal="center" vertical="center"/>
    </xf>
    <xf numFmtId="2" fontId="0" fillId="0" borderId="30" xfId="0" applyNumberForma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6" borderId="25" xfId="0" applyNumberFormat="1" applyFill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5" borderId="32" xfId="0" applyNumberFormat="1" applyFill="1" applyBorder="1" applyAlignment="1">
      <alignment horizontal="center" vertical="center"/>
    </xf>
    <xf numFmtId="2" fontId="0" fillId="5" borderId="33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2A2C1-27C7-47AF-8F83-26DA7778D762}">
  <dimension ref="C3:X120"/>
  <sheetViews>
    <sheetView tabSelected="1" zoomScale="85" zoomScaleNormal="85" workbookViewId="0">
      <selection activeCell="N107" sqref="N107:X120"/>
    </sheetView>
  </sheetViews>
  <sheetFormatPr defaultRowHeight="14.4" x14ac:dyDescent="0.3"/>
  <sheetData>
    <row r="3" spans="3:24" ht="15" thickBot="1" x14ac:dyDescent="0.35"/>
    <row r="4" spans="3:24" ht="15" thickBot="1" x14ac:dyDescent="0.35">
      <c r="C4" s="1"/>
      <c r="D4" s="2" t="s">
        <v>0</v>
      </c>
      <c r="E4" s="2">
        <v>1</v>
      </c>
      <c r="F4" s="2">
        <v>2</v>
      </c>
      <c r="G4" s="2">
        <v>3</v>
      </c>
      <c r="H4" s="2">
        <v>4</v>
      </c>
      <c r="I4" s="2">
        <v>5</v>
      </c>
      <c r="J4" s="2">
        <v>6</v>
      </c>
      <c r="K4" s="2">
        <v>7</v>
      </c>
      <c r="L4" s="2">
        <v>8</v>
      </c>
      <c r="M4" s="2">
        <v>9</v>
      </c>
      <c r="N4" s="2">
        <v>10</v>
      </c>
      <c r="O4" s="2">
        <v>11</v>
      </c>
      <c r="P4" s="2">
        <v>12</v>
      </c>
      <c r="Q4" s="2">
        <v>13</v>
      </c>
      <c r="R4" s="2">
        <v>14</v>
      </c>
      <c r="S4" s="2">
        <v>15</v>
      </c>
      <c r="T4" s="2">
        <v>16</v>
      </c>
      <c r="U4" s="2" t="s">
        <v>1</v>
      </c>
      <c r="V4" s="2" t="s">
        <v>2</v>
      </c>
      <c r="W4" s="3" t="s">
        <v>3</v>
      </c>
    </row>
    <row r="5" spans="3:24" x14ac:dyDescent="0.3">
      <c r="C5" s="62" t="s">
        <v>4</v>
      </c>
      <c r="D5" s="64" t="s">
        <v>5</v>
      </c>
      <c r="E5" s="60">
        <v>25</v>
      </c>
      <c r="F5" s="60">
        <v>25</v>
      </c>
      <c r="G5" s="58">
        <v>17.899999999999999</v>
      </c>
      <c r="H5" s="60">
        <v>75</v>
      </c>
      <c r="I5" s="60">
        <v>70</v>
      </c>
      <c r="J5" s="58">
        <v>63.6</v>
      </c>
      <c r="K5" s="60">
        <v>25</v>
      </c>
      <c r="L5" s="58">
        <v>62</v>
      </c>
      <c r="M5" s="58">
        <v>98.8</v>
      </c>
      <c r="N5" s="58">
        <v>5.5</v>
      </c>
      <c r="O5" s="58">
        <v>21</v>
      </c>
      <c r="P5" s="60">
        <v>10</v>
      </c>
      <c r="Q5" s="60">
        <v>10</v>
      </c>
      <c r="R5" s="60">
        <v>10</v>
      </c>
      <c r="S5" s="60">
        <v>100</v>
      </c>
      <c r="T5" s="60">
        <v>100</v>
      </c>
      <c r="U5" s="58">
        <v>70.400000000000006</v>
      </c>
      <c r="V5" s="58">
        <v>17.3</v>
      </c>
      <c r="W5" s="53">
        <v>80</v>
      </c>
    </row>
    <row r="6" spans="3:24" ht="15" thickBot="1" x14ac:dyDescent="0.35">
      <c r="C6" s="63"/>
      <c r="D6" s="65"/>
      <c r="E6" s="61"/>
      <c r="F6" s="61"/>
      <c r="G6" s="59"/>
      <c r="H6" s="61"/>
      <c r="I6" s="61"/>
      <c r="J6" s="59"/>
      <c r="K6" s="61"/>
      <c r="L6" s="59"/>
      <c r="M6" s="59"/>
      <c r="N6" s="59"/>
      <c r="O6" s="59"/>
      <c r="P6" s="61"/>
      <c r="Q6" s="61"/>
      <c r="R6" s="61"/>
      <c r="S6" s="61"/>
      <c r="T6" s="61"/>
      <c r="U6" s="59"/>
      <c r="V6" s="59"/>
      <c r="W6" s="54"/>
    </row>
    <row r="7" spans="3:24" ht="15" thickBot="1" x14ac:dyDescent="0.35">
      <c r="C7" s="5" t="s">
        <v>6</v>
      </c>
      <c r="D7" s="6" t="s">
        <v>7</v>
      </c>
      <c r="E7" s="7">
        <v>2.5</v>
      </c>
      <c r="F7" s="7">
        <v>2.5</v>
      </c>
      <c r="G7" s="7">
        <v>2.5</v>
      </c>
      <c r="H7" s="7">
        <v>4</v>
      </c>
      <c r="I7" s="7">
        <v>3</v>
      </c>
      <c r="J7" s="7">
        <v>1.1000000000000001</v>
      </c>
      <c r="K7" s="7">
        <v>1.5</v>
      </c>
      <c r="L7" s="7">
        <v>1</v>
      </c>
      <c r="M7" s="7">
        <v>1</v>
      </c>
      <c r="N7" s="7">
        <v>1</v>
      </c>
      <c r="O7" s="7">
        <v>1.1000000000000001</v>
      </c>
      <c r="P7" s="7">
        <v>1.1000000000000001</v>
      </c>
      <c r="Q7" s="7">
        <v>1</v>
      </c>
      <c r="R7" s="7">
        <v>1</v>
      </c>
      <c r="S7" s="7">
        <v>1</v>
      </c>
      <c r="T7" s="7">
        <v>1</v>
      </c>
      <c r="U7" s="7">
        <v>1</v>
      </c>
      <c r="V7" s="7">
        <v>1</v>
      </c>
      <c r="W7" s="8">
        <v>2</v>
      </c>
    </row>
    <row r="8" spans="3:24" ht="21" thickBot="1" x14ac:dyDescent="0.35">
      <c r="C8" s="5" t="s">
        <v>8</v>
      </c>
      <c r="D8" s="9"/>
      <c r="E8" s="7">
        <v>0</v>
      </c>
      <c r="F8" s="7">
        <v>0</v>
      </c>
      <c r="G8" s="7">
        <v>0</v>
      </c>
      <c r="H8" s="10">
        <v>0.04</v>
      </c>
      <c r="I8" s="7">
        <v>1</v>
      </c>
      <c r="J8" s="7">
        <v>1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10">
        <v>1.6E-2</v>
      </c>
      <c r="R8" s="10">
        <v>1.7</v>
      </c>
      <c r="S8" s="7">
        <v>1</v>
      </c>
      <c r="T8" s="7">
        <v>0</v>
      </c>
      <c r="U8" s="7">
        <v>1</v>
      </c>
      <c r="V8" s="7">
        <v>0</v>
      </c>
      <c r="W8" s="11">
        <v>0.11</v>
      </c>
    </row>
    <row r="9" spans="3:24" ht="21" thickBot="1" x14ac:dyDescent="0.35">
      <c r="C9" s="12" t="s">
        <v>9</v>
      </c>
      <c r="D9" s="13"/>
      <c r="E9" s="14">
        <v>1</v>
      </c>
      <c r="F9" s="14">
        <v>1</v>
      </c>
      <c r="G9" s="14">
        <v>1</v>
      </c>
      <c r="H9" s="4">
        <v>0.95</v>
      </c>
      <c r="I9" s="14">
        <v>0</v>
      </c>
      <c r="J9" s="14">
        <v>0</v>
      </c>
      <c r="K9" s="14">
        <v>1</v>
      </c>
      <c r="L9" s="14">
        <v>1</v>
      </c>
      <c r="M9" s="14">
        <v>1</v>
      </c>
      <c r="N9" s="14">
        <v>1</v>
      </c>
      <c r="O9" s="14">
        <v>1</v>
      </c>
      <c r="P9" s="4">
        <v>0.5</v>
      </c>
      <c r="Q9" s="4">
        <v>0.96</v>
      </c>
      <c r="R9" s="4">
        <v>1E-3</v>
      </c>
      <c r="S9" s="14">
        <v>0</v>
      </c>
      <c r="T9" s="14">
        <v>0</v>
      </c>
      <c r="U9" s="14">
        <v>0</v>
      </c>
      <c r="V9" s="14">
        <v>1</v>
      </c>
      <c r="W9" s="15">
        <v>0.88</v>
      </c>
    </row>
    <row r="10" spans="3:24" ht="21" thickBot="1" x14ac:dyDescent="0.35">
      <c r="C10" s="5" t="s">
        <v>10</v>
      </c>
      <c r="D10" s="9"/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10">
        <v>0.49</v>
      </c>
      <c r="Q10" s="10">
        <v>1.9E-2</v>
      </c>
      <c r="R10" s="10">
        <v>0.99</v>
      </c>
      <c r="S10" s="7">
        <v>0</v>
      </c>
      <c r="T10" s="7">
        <v>1</v>
      </c>
      <c r="U10" s="7">
        <v>0</v>
      </c>
      <c r="V10" s="7">
        <v>0</v>
      </c>
      <c r="W10" s="8">
        <v>0</v>
      </c>
    </row>
    <row r="11" spans="3:24" ht="15" thickBot="1" x14ac:dyDescent="0.35">
      <c r="C11" s="5" t="s">
        <v>11</v>
      </c>
      <c r="D11" s="16" t="s">
        <v>12</v>
      </c>
      <c r="E11" s="30">
        <v>14000</v>
      </c>
      <c r="F11" s="31" t="s">
        <v>175</v>
      </c>
      <c r="G11" s="31" t="s">
        <v>176</v>
      </c>
      <c r="H11" s="31" t="s">
        <v>177</v>
      </c>
      <c r="I11" s="30">
        <v>36000</v>
      </c>
      <c r="J11" s="31" t="s">
        <v>178</v>
      </c>
      <c r="K11" s="31">
        <v>24000</v>
      </c>
      <c r="L11" s="30">
        <v>31957.297365324299</v>
      </c>
      <c r="M11" s="31" t="s">
        <v>179</v>
      </c>
      <c r="N11" s="31" t="s">
        <v>180</v>
      </c>
      <c r="O11" s="31" t="s">
        <v>181</v>
      </c>
      <c r="P11" s="31" t="s">
        <v>181</v>
      </c>
      <c r="Q11" s="31" t="s">
        <v>182</v>
      </c>
      <c r="R11" s="31" t="s">
        <v>183</v>
      </c>
      <c r="S11" s="31" t="s">
        <v>184</v>
      </c>
      <c r="T11" s="31" t="s">
        <v>185</v>
      </c>
      <c r="U11" s="31" t="s">
        <v>186</v>
      </c>
      <c r="V11" s="31" t="s">
        <v>187</v>
      </c>
      <c r="W11" s="31" t="s">
        <v>177</v>
      </c>
      <c r="X11" s="32"/>
    </row>
    <row r="12" spans="3:24" ht="15" thickBot="1" x14ac:dyDescent="0.35">
      <c r="C12" s="55" t="s">
        <v>13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7"/>
    </row>
    <row r="13" spans="3:24" ht="15" thickBot="1" x14ac:dyDescent="0.35">
      <c r="C13" s="5" t="s">
        <v>14</v>
      </c>
      <c r="D13" s="9"/>
      <c r="E13" s="26" t="s">
        <v>61</v>
      </c>
      <c r="F13" s="26">
        <v>0</v>
      </c>
      <c r="G13" s="26" t="s">
        <v>62</v>
      </c>
      <c r="H13" s="26" t="s">
        <v>63</v>
      </c>
      <c r="I13" s="26">
        <v>0</v>
      </c>
      <c r="J13" s="26" t="s">
        <v>64</v>
      </c>
      <c r="K13" s="26">
        <v>0</v>
      </c>
      <c r="L13" s="26" t="s">
        <v>65</v>
      </c>
      <c r="M13" s="26" t="s">
        <v>66</v>
      </c>
      <c r="N13" s="26" t="s">
        <v>67</v>
      </c>
      <c r="O13" s="26" t="s">
        <v>68</v>
      </c>
      <c r="P13" s="26" t="s">
        <v>68</v>
      </c>
      <c r="Q13" s="26" t="s">
        <v>69</v>
      </c>
      <c r="R13" s="26" t="s">
        <v>70</v>
      </c>
      <c r="S13" s="26" t="s">
        <v>71</v>
      </c>
      <c r="T13" s="26">
        <v>0</v>
      </c>
      <c r="U13" s="26" t="s">
        <v>72</v>
      </c>
      <c r="V13" s="26" t="s">
        <v>73</v>
      </c>
      <c r="W13" s="26" t="s">
        <v>63</v>
      </c>
    </row>
    <row r="14" spans="3:24" ht="15" thickBot="1" x14ac:dyDescent="0.35">
      <c r="C14" s="12" t="s">
        <v>15</v>
      </c>
      <c r="D14" s="13"/>
      <c r="E14" s="27" t="s">
        <v>74</v>
      </c>
      <c r="F14" s="27">
        <v>0</v>
      </c>
      <c r="G14" s="27" t="s">
        <v>75</v>
      </c>
      <c r="H14" s="27" t="s">
        <v>76</v>
      </c>
      <c r="I14" s="27">
        <v>0</v>
      </c>
      <c r="J14" s="27" t="s">
        <v>77</v>
      </c>
      <c r="K14" s="27">
        <v>0</v>
      </c>
      <c r="L14" s="27" t="s">
        <v>78</v>
      </c>
      <c r="M14" s="27" t="s">
        <v>79</v>
      </c>
      <c r="N14" s="27" t="s">
        <v>80</v>
      </c>
      <c r="O14" s="27" t="s">
        <v>81</v>
      </c>
      <c r="P14" s="27" t="s">
        <v>81</v>
      </c>
      <c r="Q14" s="27" t="s">
        <v>82</v>
      </c>
      <c r="R14" s="27" t="s">
        <v>83</v>
      </c>
      <c r="S14" s="27" t="s">
        <v>84</v>
      </c>
      <c r="T14" s="27">
        <v>0</v>
      </c>
      <c r="U14" s="27" t="s">
        <v>85</v>
      </c>
      <c r="V14" s="27" t="s">
        <v>86</v>
      </c>
      <c r="W14" s="27" t="s">
        <v>76</v>
      </c>
    </row>
    <row r="15" spans="3:24" ht="15" thickBot="1" x14ac:dyDescent="0.35">
      <c r="C15" s="5" t="s">
        <v>16</v>
      </c>
      <c r="D15" s="9"/>
      <c r="E15" s="26">
        <v>0</v>
      </c>
      <c r="F15" s="26" t="s">
        <v>87</v>
      </c>
      <c r="G15" s="26" t="s">
        <v>88</v>
      </c>
      <c r="H15" s="26" t="s">
        <v>89</v>
      </c>
      <c r="I15" s="26">
        <v>0</v>
      </c>
      <c r="J15" s="26" t="s">
        <v>90</v>
      </c>
      <c r="K15" s="26">
        <v>1</v>
      </c>
      <c r="L15" s="26" t="s">
        <v>91</v>
      </c>
      <c r="M15" s="26" t="s">
        <v>92</v>
      </c>
      <c r="N15" s="26" t="s">
        <v>93</v>
      </c>
      <c r="O15" s="26" t="s">
        <v>94</v>
      </c>
      <c r="P15" s="26" t="s">
        <v>94</v>
      </c>
      <c r="Q15" s="26" t="s">
        <v>95</v>
      </c>
      <c r="R15" s="26" t="s">
        <v>96</v>
      </c>
      <c r="S15" s="26" t="s">
        <v>97</v>
      </c>
      <c r="T15" s="26">
        <v>0</v>
      </c>
      <c r="U15" s="26" t="s">
        <v>98</v>
      </c>
      <c r="V15" s="26" t="s">
        <v>99</v>
      </c>
      <c r="W15" s="26" t="s">
        <v>89</v>
      </c>
    </row>
    <row r="16" spans="3:24" ht="15" thickBot="1" x14ac:dyDescent="0.35">
      <c r="C16" s="12" t="s">
        <v>17</v>
      </c>
      <c r="D16" s="13"/>
      <c r="E16" s="27">
        <v>0</v>
      </c>
      <c r="F16" s="27">
        <v>0</v>
      </c>
      <c r="G16" s="27" t="s">
        <v>100</v>
      </c>
      <c r="H16" s="27" t="s">
        <v>100</v>
      </c>
      <c r="I16" s="27" t="s">
        <v>101</v>
      </c>
      <c r="J16" s="27" t="s">
        <v>102</v>
      </c>
      <c r="K16" s="27">
        <v>0</v>
      </c>
      <c r="L16" s="27" t="s">
        <v>103</v>
      </c>
      <c r="M16" s="27" t="s">
        <v>104</v>
      </c>
      <c r="N16" s="27" t="s">
        <v>105</v>
      </c>
      <c r="O16" s="27" t="s">
        <v>106</v>
      </c>
      <c r="P16" s="27" t="s">
        <v>106</v>
      </c>
      <c r="Q16" s="27" t="s">
        <v>107</v>
      </c>
      <c r="R16" s="27" t="s">
        <v>108</v>
      </c>
      <c r="S16" s="27" t="s">
        <v>109</v>
      </c>
      <c r="T16" s="27">
        <v>0</v>
      </c>
      <c r="U16" s="27" t="s">
        <v>110</v>
      </c>
      <c r="V16" s="27" t="s">
        <v>111</v>
      </c>
      <c r="W16" s="27" t="s">
        <v>100</v>
      </c>
    </row>
    <row r="17" spans="3:23" ht="15" thickBot="1" x14ac:dyDescent="0.35">
      <c r="C17" s="5" t="s">
        <v>18</v>
      </c>
      <c r="D17" s="9"/>
      <c r="E17" s="26">
        <v>0</v>
      </c>
      <c r="F17" s="26">
        <v>0</v>
      </c>
      <c r="G17" s="26" t="s">
        <v>112</v>
      </c>
      <c r="H17" s="26" t="s">
        <v>113</v>
      </c>
      <c r="I17" s="26">
        <v>0</v>
      </c>
      <c r="J17" s="26" t="s">
        <v>114</v>
      </c>
      <c r="K17" s="26">
        <v>0</v>
      </c>
      <c r="L17" s="26" t="s">
        <v>115</v>
      </c>
      <c r="M17" s="26" t="s">
        <v>116</v>
      </c>
      <c r="N17" s="26" t="s">
        <v>117</v>
      </c>
      <c r="O17" s="26" t="s">
        <v>118</v>
      </c>
      <c r="P17" s="26" t="s">
        <v>118</v>
      </c>
      <c r="Q17" s="26" t="s">
        <v>119</v>
      </c>
      <c r="R17" s="26" t="s">
        <v>120</v>
      </c>
      <c r="S17" s="26" t="s">
        <v>121</v>
      </c>
      <c r="T17" s="26">
        <v>1</v>
      </c>
      <c r="U17" s="26" t="s">
        <v>122</v>
      </c>
      <c r="V17" s="26" t="s">
        <v>123</v>
      </c>
      <c r="W17" s="26" t="s">
        <v>113</v>
      </c>
    </row>
    <row r="18" spans="3:23" ht="15" thickBot="1" x14ac:dyDescent="0.35">
      <c r="C18" s="12" t="s">
        <v>19</v>
      </c>
      <c r="D18" s="13"/>
      <c r="E18" s="27">
        <v>0</v>
      </c>
      <c r="F18" s="27" t="s">
        <v>124</v>
      </c>
      <c r="G18" s="27" t="s">
        <v>125</v>
      </c>
      <c r="H18" s="27" t="s">
        <v>126</v>
      </c>
      <c r="I18" s="27">
        <v>0</v>
      </c>
      <c r="J18" s="27" t="s">
        <v>127</v>
      </c>
      <c r="K18" s="27">
        <v>0</v>
      </c>
      <c r="L18" s="27" t="s">
        <v>128</v>
      </c>
      <c r="M18" s="27" t="s">
        <v>129</v>
      </c>
      <c r="N18" s="27" t="s">
        <v>130</v>
      </c>
      <c r="O18" s="27" t="s">
        <v>131</v>
      </c>
      <c r="P18" s="27" t="s">
        <v>131</v>
      </c>
      <c r="Q18" s="27" t="s">
        <v>132</v>
      </c>
      <c r="R18" s="27" t="s">
        <v>133</v>
      </c>
      <c r="S18" s="27" t="s">
        <v>134</v>
      </c>
      <c r="T18" s="27">
        <v>0</v>
      </c>
      <c r="U18" s="27" t="s">
        <v>135</v>
      </c>
      <c r="V18" s="27" t="s">
        <v>136</v>
      </c>
      <c r="W18" s="27" t="s">
        <v>126</v>
      </c>
    </row>
    <row r="19" spans="3:23" ht="15" thickBot="1" x14ac:dyDescent="0.35">
      <c r="C19" s="5" t="s">
        <v>20</v>
      </c>
      <c r="D19" s="9"/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6">
        <v>0</v>
      </c>
      <c r="O19" s="26">
        <v>0</v>
      </c>
      <c r="P19" s="26">
        <v>0</v>
      </c>
      <c r="Q19" s="26">
        <v>0</v>
      </c>
      <c r="R19" s="26">
        <v>0</v>
      </c>
      <c r="S19" s="26">
        <v>0</v>
      </c>
      <c r="T19" s="26">
        <v>0</v>
      </c>
      <c r="U19" s="26">
        <v>0</v>
      </c>
      <c r="V19" s="26">
        <v>0</v>
      </c>
      <c r="W19" s="26">
        <v>0</v>
      </c>
    </row>
    <row r="20" spans="3:23" ht="15" thickBot="1" x14ac:dyDescent="0.35">
      <c r="C20" s="12" t="s">
        <v>21</v>
      </c>
      <c r="D20" s="13"/>
      <c r="E20" s="27">
        <v>0</v>
      </c>
      <c r="F20" s="27">
        <v>0</v>
      </c>
      <c r="G20" s="27" t="s">
        <v>137</v>
      </c>
      <c r="H20" s="27" t="s">
        <v>137</v>
      </c>
      <c r="I20" s="27">
        <v>0</v>
      </c>
      <c r="J20" s="27" t="s">
        <v>138</v>
      </c>
      <c r="K20" s="27">
        <v>0</v>
      </c>
      <c r="L20" s="27" t="s">
        <v>139</v>
      </c>
      <c r="M20" s="27" t="s">
        <v>140</v>
      </c>
      <c r="N20" s="27" t="s">
        <v>141</v>
      </c>
      <c r="O20" s="27" t="s">
        <v>142</v>
      </c>
      <c r="P20" s="27" t="s">
        <v>142</v>
      </c>
      <c r="Q20" s="27" t="s">
        <v>143</v>
      </c>
      <c r="R20" s="27" t="s">
        <v>144</v>
      </c>
      <c r="S20" s="27" t="s">
        <v>145</v>
      </c>
      <c r="T20" s="27">
        <v>0</v>
      </c>
      <c r="U20" s="27" t="s">
        <v>146</v>
      </c>
      <c r="V20" s="27" t="s">
        <v>147</v>
      </c>
      <c r="W20" s="27" t="s">
        <v>137</v>
      </c>
    </row>
    <row r="21" spans="3:23" ht="15" thickBot="1" x14ac:dyDescent="0.35">
      <c r="C21" s="5" t="s">
        <v>22</v>
      </c>
      <c r="D21" s="9"/>
      <c r="E21" s="26">
        <v>0</v>
      </c>
      <c r="F21" s="26">
        <v>0</v>
      </c>
      <c r="G21" s="26" t="s">
        <v>148</v>
      </c>
      <c r="H21" s="26" t="s">
        <v>148</v>
      </c>
      <c r="I21" s="26">
        <v>0</v>
      </c>
      <c r="J21" s="26" t="s">
        <v>149</v>
      </c>
      <c r="K21" s="26">
        <v>0</v>
      </c>
      <c r="L21" s="26" t="s">
        <v>150</v>
      </c>
      <c r="M21" s="26" t="s">
        <v>151</v>
      </c>
      <c r="N21" s="26" t="s">
        <v>152</v>
      </c>
      <c r="O21" s="26" t="s">
        <v>153</v>
      </c>
      <c r="P21" s="26" t="s">
        <v>153</v>
      </c>
      <c r="Q21" s="26" t="s">
        <v>154</v>
      </c>
      <c r="R21" s="26" t="s">
        <v>155</v>
      </c>
      <c r="S21" s="26" t="s">
        <v>156</v>
      </c>
      <c r="T21" s="26">
        <v>0</v>
      </c>
      <c r="U21" s="26" t="s">
        <v>157</v>
      </c>
      <c r="V21" s="26" t="s">
        <v>158</v>
      </c>
      <c r="W21" s="26" t="s">
        <v>148</v>
      </c>
    </row>
    <row r="22" spans="3:23" ht="15" thickBot="1" x14ac:dyDescent="0.35">
      <c r="C22" s="12" t="s">
        <v>23</v>
      </c>
      <c r="D22" s="13"/>
      <c r="E22" s="27">
        <v>0</v>
      </c>
      <c r="F22" s="27">
        <v>0</v>
      </c>
      <c r="G22" s="27" t="s">
        <v>159</v>
      </c>
      <c r="H22" s="27" t="s">
        <v>160</v>
      </c>
      <c r="I22" s="27" t="s">
        <v>161</v>
      </c>
      <c r="J22" s="27" t="s">
        <v>162</v>
      </c>
      <c r="K22" s="27">
        <v>0</v>
      </c>
      <c r="L22" s="27" t="s">
        <v>163</v>
      </c>
      <c r="M22" s="27" t="s">
        <v>164</v>
      </c>
      <c r="N22" s="27" t="s">
        <v>165</v>
      </c>
      <c r="O22" s="27" t="s">
        <v>166</v>
      </c>
      <c r="P22" s="27" t="s">
        <v>166</v>
      </c>
      <c r="Q22" s="27" t="s">
        <v>167</v>
      </c>
      <c r="R22" s="27" t="s">
        <v>168</v>
      </c>
      <c r="S22" s="27" t="s">
        <v>169</v>
      </c>
      <c r="T22" s="27">
        <v>0</v>
      </c>
      <c r="U22" s="27" t="s">
        <v>170</v>
      </c>
      <c r="V22" s="27" t="s">
        <v>171</v>
      </c>
      <c r="W22" s="27" t="s">
        <v>160</v>
      </c>
    </row>
    <row r="23" spans="3:23" x14ac:dyDescent="0.3"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</row>
    <row r="28" spans="3:23" x14ac:dyDescent="0.3">
      <c r="D28" s="21" t="s">
        <v>33</v>
      </c>
    </row>
    <row r="29" spans="3:23" ht="15" thickBot="1" x14ac:dyDescent="0.35"/>
    <row r="30" spans="3:23" ht="15" thickBot="1" x14ac:dyDescent="0.35">
      <c r="C30" s="17" t="s">
        <v>24</v>
      </c>
      <c r="D30" s="18" t="s">
        <v>25</v>
      </c>
      <c r="E30" s="18" t="s">
        <v>26</v>
      </c>
      <c r="F30" s="18" t="s">
        <v>27</v>
      </c>
      <c r="G30" s="18" t="s">
        <v>28</v>
      </c>
      <c r="H30" s="18" t="s">
        <v>29</v>
      </c>
      <c r="I30" s="18" t="s">
        <v>30</v>
      </c>
      <c r="J30" s="19" t="s">
        <v>31</v>
      </c>
    </row>
    <row r="31" spans="3:23" ht="40.200000000000003" thickBot="1" x14ac:dyDescent="0.35">
      <c r="C31" s="20" t="s">
        <v>32</v>
      </c>
      <c r="D31" s="24">
        <v>-2024.5</v>
      </c>
      <c r="E31" s="24">
        <v>0</v>
      </c>
      <c r="F31" s="24">
        <v>0</v>
      </c>
      <c r="G31" s="24">
        <v>-101.76900000000001</v>
      </c>
      <c r="H31" s="24">
        <v>71.846000000000004</v>
      </c>
      <c r="I31" s="24">
        <v>3.0597500000000002</v>
      </c>
      <c r="J31" s="25">
        <v>-5.0599999999999996</v>
      </c>
    </row>
    <row r="37" spans="5:21" x14ac:dyDescent="0.3">
      <c r="T37" s="48"/>
      <c r="U37" s="49"/>
    </row>
    <row r="40" spans="5:21" x14ac:dyDescent="0.3">
      <c r="E40" s="66" t="s">
        <v>36</v>
      </c>
      <c r="F40" s="67"/>
      <c r="G40" s="68" t="s">
        <v>172</v>
      </c>
      <c r="H40" s="68"/>
      <c r="I40" s="69" t="s">
        <v>173</v>
      </c>
      <c r="J40" s="70"/>
      <c r="N40" s="44" t="s">
        <v>174</v>
      </c>
      <c r="O40" s="45"/>
      <c r="P40" s="42" t="s">
        <v>172</v>
      </c>
      <c r="Q40" s="43"/>
      <c r="R40" s="43"/>
      <c r="S40" s="29" t="s">
        <v>173</v>
      </c>
    </row>
    <row r="41" spans="5:21" x14ac:dyDescent="0.3">
      <c r="E41" s="69" t="s">
        <v>35</v>
      </c>
      <c r="F41" s="70"/>
      <c r="G41" s="71" t="s">
        <v>49</v>
      </c>
      <c r="H41" s="71" t="s">
        <v>37</v>
      </c>
      <c r="I41" s="71" t="s">
        <v>38</v>
      </c>
      <c r="J41" s="71" t="s">
        <v>40</v>
      </c>
      <c r="N41" s="48" t="s">
        <v>35</v>
      </c>
      <c r="O41" s="49"/>
      <c r="P41" s="22" t="s">
        <v>59</v>
      </c>
      <c r="Q41" s="22" t="s">
        <v>60</v>
      </c>
      <c r="R41" s="22" t="s">
        <v>56</v>
      </c>
      <c r="S41" s="22" t="s">
        <v>48</v>
      </c>
    </row>
    <row r="42" spans="5:21" x14ac:dyDescent="0.3">
      <c r="E42" s="72" t="s">
        <v>14</v>
      </c>
      <c r="F42" s="73"/>
      <c r="G42" s="74">
        <f>(H13*$H$11)</f>
        <v>78.114533271882237</v>
      </c>
      <c r="H42" s="74">
        <f>(I13*$I$11)</f>
        <v>0</v>
      </c>
      <c r="I42" s="74">
        <f>(J13*$J$11)</f>
        <v>9.7088463647480232</v>
      </c>
      <c r="J42" s="74">
        <f>($O$11*O13)</f>
        <v>69.889616655604286</v>
      </c>
      <c r="N42" s="33" t="s">
        <v>14</v>
      </c>
      <c r="O42" s="34"/>
      <c r="P42" s="23">
        <f>($E$11*E13)</f>
        <v>7700.0000000000009</v>
      </c>
      <c r="Q42" s="23">
        <f>($F$11*F13)</f>
        <v>0</v>
      </c>
      <c r="R42" s="23">
        <f>($N$11*N13)</f>
        <v>8.1749976681110148</v>
      </c>
      <c r="S42" s="46">
        <v>640.7510085106353</v>
      </c>
      <c r="T42" s="47"/>
    </row>
    <row r="43" spans="5:21" x14ac:dyDescent="0.3">
      <c r="E43" s="72" t="s">
        <v>15</v>
      </c>
      <c r="F43" s="73"/>
      <c r="G43" s="74">
        <f>(H14*$H$11)</f>
        <v>128.14812870352159</v>
      </c>
      <c r="H43" s="74">
        <f t="shared" ref="H43:H51" si="0">(I14*$I$11)</f>
        <v>0</v>
      </c>
      <c r="I43" s="74">
        <f t="shared" ref="I43:I51" si="1">(J14*$J$11)</f>
        <v>32.965774269486502</v>
      </c>
      <c r="J43" s="74">
        <f t="shared" ref="J43:J51" si="2">($O$11*O14)</f>
        <v>96.525605756867321</v>
      </c>
      <c r="N43" s="33" t="s">
        <v>15</v>
      </c>
      <c r="O43" s="34"/>
      <c r="P43" s="23">
        <f>($E$11*E14)</f>
        <v>6300</v>
      </c>
      <c r="Q43" s="23">
        <f>($F$11*F14)</f>
        <v>0</v>
      </c>
      <c r="R43" s="23">
        <f t="shared" ref="R43:R51" si="3">($N$11*N14)</f>
        <v>26.396733255954636</v>
      </c>
      <c r="S43" s="46">
        <v>525.58108757905268</v>
      </c>
      <c r="T43" s="47"/>
    </row>
    <row r="44" spans="5:21" x14ac:dyDescent="0.3">
      <c r="E44" s="72" t="s">
        <v>16</v>
      </c>
      <c r="F44" s="73"/>
      <c r="G44" s="74">
        <f>(H15*$H$11)</f>
        <v>18139.19712480102</v>
      </c>
      <c r="H44" s="74">
        <f t="shared" si="0"/>
        <v>0</v>
      </c>
      <c r="I44" s="74">
        <f t="shared" si="1"/>
        <v>3539.2570164550903</v>
      </c>
      <c r="J44" s="74">
        <f t="shared" si="2"/>
        <v>14862.250822605674</v>
      </c>
      <c r="N44" s="33" t="s">
        <v>16</v>
      </c>
      <c r="O44" s="34"/>
      <c r="P44" s="23">
        <f t="shared" ref="P44:P50" si="4">($E$11*E15)</f>
        <v>0</v>
      </c>
      <c r="Q44" s="23">
        <f t="shared" ref="Q44:Q51" si="5">($F$11*F15)</f>
        <v>7822.4104922771776</v>
      </c>
      <c r="R44" s="23">
        <f t="shared" si="3"/>
        <v>6498.6012064688266</v>
      </c>
      <c r="S44" s="46">
        <v>1188.8063092476164</v>
      </c>
      <c r="T44" s="47"/>
    </row>
    <row r="45" spans="5:21" x14ac:dyDescent="0.3">
      <c r="E45" s="72" t="s">
        <v>17</v>
      </c>
      <c r="F45" s="73"/>
      <c r="G45" s="74">
        <f t="shared" ref="G45:G50" si="6">(H16*$H$11)</f>
        <v>11.756274756422767</v>
      </c>
      <c r="H45" s="74">
        <f t="shared" si="0"/>
        <v>7560</v>
      </c>
      <c r="I45" s="74">
        <f t="shared" si="1"/>
        <v>3917.2817702793313</v>
      </c>
      <c r="J45" s="74">
        <f t="shared" si="2"/>
        <v>60.498711222871592</v>
      </c>
      <c r="N45" s="33" t="s">
        <v>17</v>
      </c>
      <c r="O45" s="34"/>
      <c r="P45" s="23">
        <f t="shared" si="4"/>
        <v>0</v>
      </c>
      <c r="Q45" s="23">
        <f t="shared" si="5"/>
        <v>0</v>
      </c>
      <c r="R45" s="23">
        <f t="shared" si="3"/>
        <v>14.286422336916155</v>
      </c>
      <c r="S45" s="46">
        <v>0.9643333437437881</v>
      </c>
      <c r="T45" s="47"/>
    </row>
    <row r="46" spans="5:21" x14ac:dyDescent="0.3">
      <c r="E46" s="72" t="s">
        <v>18</v>
      </c>
      <c r="F46" s="73"/>
      <c r="G46" s="74">
        <f t="shared" si="6"/>
        <v>20633.763467738547</v>
      </c>
      <c r="H46" s="74">
        <f t="shared" si="0"/>
        <v>0</v>
      </c>
      <c r="I46" s="74">
        <f t="shared" si="1"/>
        <v>3.609738006425852E-3</v>
      </c>
      <c r="J46" s="74">
        <f t="shared" si="2"/>
        <v>21189.97533837712</v>
      </c>
      <c r="N46" s="33" t="s">
        <v>18</v>
      </c>
      <c r="O46" s="34"/>
      <c r="P46" s="23">
        <f t="shared" si="4"/>
        <v>0</v>
      </c>
      <c r="Q46" s="23">
        <f t="shared" si="5"/>
        <v>0</v>
      </c>
      <c r="R46" s="23">
        <f t="shared" si="3"/>
        <v>3.8846329003467336E-9</v>
      </c>
      <c r="S46" s="46">
        <v>2.6221407105614586E-10</v>
      </c>
      <c r="T46" s="47"/>
    </row>
    <row r="47" spans="5:21" x14ac:dyDescent="0.3">
      <c r="E47" s="72" t="s">
        <v>19</v>
      </c>
      <c r="F47" s="73"/>
      <c r="G47" s="74">
        <f t="shared" si="6"/>
        <v>7394.9207198810427</v>
      </c>
      <c r="H47" s="74">
        <f t="shared" si="0"/>
        <v>0</v>
      </c>
      <c r="I47" s="74">
        <f t="shared" si="1"/>
        <v>2772.6804518704726</v>
      </c>
      <c r="J47" s="74">
        <f t="shared" si="2"/>
        <v>4644.0148900235163</v>
      </c>
      <c r="N47" s="33" t="s">
        <v>19</v>
      </c>
      <c r="O47" s="34"/>
      <c r="P47" s="23">
        <f t="shared" si="4"/>
        <v>0</v>
      </c>
      <c r="Q47" s="23">
        <f t="shared" si="5"/>
        <v>11999.903807009503</v>
      </c>
      <c r="R47" s="23">
        <f t="shared" si="3"/>
        <v>11111.389976787321</v>
      </c>
      <c r="S47" s="46">
        <v>1900.7805219690385</v>
      </c>
      <c r="T47" s="47"/>
    </row>
    <row r="48" spans="5:21" x14ac:dyDescent="0.3">
      <c r="E48" s="72" t="s">
        <v>20</v>
      </c>
      <c r="F48" s="73"/>
      <c r="G48" s="74">
        <f t="shared" si="6"/>
        <v>0</v>
      </c>
      <c r="H48" s="74">
        <f t="shared" si="0"/>
        <v>0</v>
      </c>
      <c r="I48" s="74">
        <f t="shared" si="1"/>
        <v>0</v>
      </c>
      <c r="J48" s="74">
        <f t="shared" si="2"/>
        <v>0</v>
      </c>
      <c r="N48" s="33" t="s">
        <v>20</v>
      </c>
      <c r="O48" s="34"/>
      <c r="P48" s="23">
        <f t="shared" si="4"/>
        <v>0</v>
      </c>
      <c r="Q48" s="23">
        <f t="shared" si="5"/>
        <v>0</v>
      </c>
      <c r="R48" s="23">
        <f t="shared" si="3"/>
        <v>0</v>
      </c>
      <c r="S48" s="46">
        <v>0</v>
      </c>
      <c r="T48" s="47"/>
    </row>
    <row r="49" spans="5:23" x14ac:dyDescent="0.3">
      <c r="E49" s="72" t="s">
        <v>21</v>
      </c>
      <c r="F49" s="73"/>
      <c r="G49" s="74">
        <f t="shared" si="6"/>
        <v>3.0786972717186678E-5</v>
      </c>
      <c r="H49" s="74">
        <f t="shared" si="0"/>
        <v>0</v>
      </c>
      <c r="I49" s="74">
        <f t="shared" si="1"/>
        <v>8.2373975569810243E-2</v>
      </c>
      <c r="J49" s="74">
        <f t="shared" si="2"/>
        <v>3.4951529151230143E-18</v>
      </c>
      <c r="N49" s="33" t="s">
        <v>21</v>
      </c>
      <c r="O49" s="34"/>
      <c r="P49" s="23">
        <f t="shared" si="4"/>
        <v>0</v>
      </c>
      <c r="Q49" s="23">
        <f t="shared" si="5"/>
        <v>0</v>
      </c>
      <c r="R49" s="23">
        <f t="shared" si="3"/>
        <v>3.7412896464615222E-5</v>
      </c>
      <c r="S49" s="46">
        <v>2.5253666624194507E-6</v>
      </c>
      <c r="T49" s="47"/>
    </row>
    <row r="50" spans="5:23" x14ac:dyDescent="0.3">
      <c r="E50" s="72" t="s">
        <v>22</v>
      </c>
      <c r="F50" s="73"/>
      <c r="G50" s="74">
        <f t="shared" si="6"/>
        <v>1220.3447064004583</v>
      </c>
      <c r="H50" s="74">
        <f t="shared" si="0"/>
        <v>0</v>
      </c>
      <c r="I50" s="74">
        <f t="shared" si="1"/>
        <v>7050.4891929842324</v>
      </c>
      <c r="J50" s="74">
        <f t="shared" si="2"/>
        <v>788.06451670430113</v>
      </c>
      <c r="N50" s="33" t="s">
        <v>22</v>
      </c>
      <c r="O50" s="34"/>
      <c r="P50" s="23">
        <f t="shared" si="4"/>
        <v>0</v>
      </c>
      <c r="Q50" s="23">
        <f t="shared" si="5"/>
        <v>0</v>
      </c>
      <c r="R50" s="23">
        <f t="shared" si="3"/>
        <v>1482.981540203823</v>
      </c>
      <c r="S50" s="46">
        <v>100.10135996526091</v>
      </c>
      <c r="T50" s="47"/>
    </row>
    <row r="51" spans="5:23" x14ac:dyDescent="0.3">
      <c r="E51" s="75" t="s">
        <v>23</v>
      </c>
      <c r="F51" s="76"/>
      <c r="G51" s="74">
        <f>(H22*$H$11)</f>
        <v>6216.3331479522321</v>
      </c>
      <c r="H51" s="74">
        <f t="shared" si="0"/>
        <v>28440</v>
      </c>
      <c r="I51" s="74">
        <f t="shared" si="1"/>
        <v>29677.95489269216</v>
      </c>
      <c r="J51" s="74">
        <f t="shared" si="2"/>
        <v>1110.9347043217745</v>
      </c>
      <c r="N51" s="35" t="s">
        <v>23</v>
      </c>
      <c r="O51" s="36"/>
      <c r="P51" s="23"/>
      <c r="Q51" s="23">
        <f t="shared" si="5"/>
        <v>0</v>
      </c>
      <c r="R51" s="23">
        <f t="shared" si="3"/>
        <v>858.16906855165507</v>
      </c>
      <c r="S51" s="46">
        <v>57.92637685902514</v>
      </c>
      <c r="T51" s="47"/>
    </row>
    <row r="52" spans="5:23" x14ac:dyDescent="0.3">
      <c r="E52" s="77" t="s">
        <v>34</v>
      </c>
      <c r="F52" s="77"/>
      <c r="G52" s="77">
        <f>SUM(G42:H51)</f>
        <v>89822.578134292096</v>
      </c>
      <c r="H52" s="77"/>
      <c r="I52" s="78">
        <f>SUM(I42:J51)</f>
        <v>89822.578134296826</v>
      </c>
      <c r="J52" s="79"/>
      <c r="N52" s="37" t="s">
        <v>34</v>
      </c>
      <c r="O52" s="37"/>
      <c r="P52" s="37">
        <f>SUM(P42:R51)</f>
        <v>53822.314281976069</v>
      </c>
      <c r="Q52" s="37"/>
      <c r="R52" s="37"/>
      <c r="S52" s="50">
        <f>SUM(S42:T51)</f>
        <v>4414.9110000000019</v>
      </c>
      <c r="T52" s="51"/>
      <c r="V52" s="38"/>
      <c r="W52" s="39"/>
    </row>
    <row r="53" spans="5:23" x14ac:dyDescent="0.3">
      <c r="E53" s="77"/>
      <c r="F53" s="77"/>
      <c r="G53" s="77"/>
      <c r="H53" s="77"/>
      <c r="I53" s="80"/>
      <c r="J53" s="81"/>
      <c r="N53" s="37"/>
      <c r="O53" s="37"/>
      <c r="P53" s="37"/>
      <c r="Q53" s="37"/>
      <c r="R53" s="37"/>
      <c r="S53" s="42"/>
      <c r="T53" s="52"/>
      <c r="V53" s="40"/>
      <c r="W53" s="41"/>
    </row>
    <row r="56" spans="5:23" x14ac:dyDescent="0.3">
      <c r="E56" s="66" t="s">
        <v>41</v>
      </c>
      <c r="F56" s="67"/>
      <c r="G56" s="68" t="s">
        <v>172</v>
      </c>
      <c r="H56" s="68"/>
      <c r="I56" s="69" t="s">
        <v>173</v>
      </c>
      <c r="J56" s="70"/>
      <c r="N56" s="66" t="s">
        <v>50</v>
      </c>
      <c r="O56" s="67"/>
      <c r="P56" s="68" t="s">
        <v>172</v>
      </c>
      <c r="Q56" s="68"/>
      <c r="R56" s="69" t="s">
        <v>173</v>
      </c>
      <c r="S56" s="70"/>
    </row>
    <row r="57" spans="5:23" x14ac:dyDescent="0.3">
      <c r="E57" s="69" t="s">
        <v>35</v>
      </c>
      <c r="F57" s="70"/>
      <c r="G57" s="82" t="s">
        <v>48</v>
      </c>
      <c r="H57" s="83"/>
      <c r="I57" s="82" t="s">
        <v>49</v>
      </c>
      <c r="J57" s="83"/>
      <c r="N57" s="69" t="s">
        <v>35</v>
      </c>
      <c r="O57" s="70"/>
      <c r="P57" s="71" t="s">
        <v>38</v>
      </c>
      <c r="Q57" s="71" t="s">
        <v>39</v>
      </c>
      <c r="R57" s="71" t="s">
        <v>42</v>
      </c>
      <c r="S57" s="71" t="s">
        <v>51</v>
      </c>
    </row>
    <row r="58" spans="5:23" x14ac:dyDescent="0.3">
      <c r="E58" s="72" t="s">
        <v>14</v>
      </c>
      <c r="F58" s="73"/>
      <c r="G58" s="82">
        <f>($G$11*G13)</f>
        <v>7811.4533271882938</v>
      </c>
      <c r="H58" s="83"/>
      <c r="I58" s="82">
        <f>($H$11*H13)</f>
        <v>78.114533271882237</v>
      </c>
      <c r="J58" s="83"/>
      <c r="N58" s="72" t="s">
        <v>14</v>
      </c>
      <c r="O58" s="73"/>
      <c r="P58" s="74">
        <f>($J$11*J13)</f>
        <v>9.7088463647480232</v>
      </c>
      <c r="Q58" s="74">
        <f t="shared" ref="Q58:Q67" si="7">($K$11*K13)</f>
        <v>0</v>
      </c>
      <c r="R58" s="74">
        <f t="shared" ref="R58:R67" si="8">($L$11*L13)</f>
        <v>9.4697193255655616</v>
      </c>
      <c r="S58" s="74">
        <f>($U$11*U13)</f>
        <v>0.12995635129064154</v>
      </c>
    </row>
    <row r="59" spans="5:23" x14ac:dyDescent="0.3">
      <c r="E59" s="72" t="s">
        <v>15</v>
      </c>
      <c r="F59" s="73"/>
      <c r="G59" s="82">
        <f t="shared" ref="G59:G67" si="9">($G$11*G14)</f>
        <v>6407.406435176119</v>
      </c>
      <c r="H59" s="83"/>
      <c r="I59" s="82">
        <f t="shared" ref="I59:I67" si="10">($H$11*H14)</f>
        <v>128.14812870352159</v>
      </c>
      <c r="J59" s="83"/>
      <c r="N59" s="72" t="s">
        <v>15</v>
      </c>
      <c r="O59" s="73"/>
      <c r="P59" s="74">
        <f t="shared" ref="P59:P67" si="11">($J$11*J14)</f>
        <v>32.965774269486502</v>
      </c>
      <c r="Q59" s="74">
        <f t="shared" si="7"/>
        <v>0</v>
      </c>
      <c r="R59" s="74">
        <f t="shared" si="8"/>
        <v>32.139070952146938</v>
      </c>
      <c r="S59" s="74">
        <f t="shared" ref="S59:S67" si="12">($U$11*U14)</f>
        <v>0.45652637676685265</v>
      </c>
    </row>
    <row r="60" spans="5:23" x14ac:dyDescent="0.3">
      <c r="E60" s="72" t="s">
        <v>16</v>
      </c>
      <c r="F60" s="73"/>
      <c r="G60" s="82">
        <f t="shared" si="9"/>
        <v>14492.844921680045</v>
      </c>
      <c r="H60" s="83"/>
      <c r="I60" s="82">
        <f t="shared" si="10"/>
        <v>18139.19712480102</v>
      </c>
      <c r="J60" s="83"/>
      <c r="N60" s="72" t="s">
        <v>16</v>
      </c>
      <c r="O60" s="73"/>
      <c r="P60" s="74">
        <f t="shared" si="11"/>
        <v>3539.2570164550903</v>
      </c>
      <c r="Q60" s="74">
        <f t="shared" si="7"/>
        <v>24000</v>
      </c>
      <c r="R60" s="74">
        <f t="shared" si="8"/>
        <v>19478.741625087343</v>
      </c>
      <c r="S60" s="74">
        <f t="shared" si="12"/>
        <v>6358.8263870679766</v>
      </c>
    </row>
    <row r="61" spans="5:23" x14ac:dyDescent="0.3">
      <c r="E61" s="72" t="s">
        <v>17</v>
      </c>
      <c r="F61" s="73"/>
      <c r="G61" s="82">
        <f t="shared" si="9"/>
        <v>11.756274756422789</v>
      </c>
      <c r="H61" s="83"/>
      <c r="I61" s="82">
        <f t="shared" si="10"/>
        <v>11.756274756422767</v>
      </c>
      <c r="J61" s="83"/>
      <c r="N61" s="72" t="s">
        <v>17</v>
      </c>
      <c r="O61" s="73"/>
      <c r="P61" s="74">
        <f t="shared" si="11"/>
        <v>3917.2817702793313</v>
      </c>
      <c r="Q61" s="74">
        <f t="shared" si="7"/>
        <v>0</v>
      </c>
      <c r="R61" s="74">
        <f t="shared" si="8"/>
        <v>11.213909127953183</v>
      </c>
      <c r="S61" s="74">
        <f t="shared" si="12"/>
        <v>2956.2259302733669</v>
      </c>
    </row>
    <row r="62" spans="5:23" x14ac:dyDescent="0.3">
      <c r="E62" s="72" t="s">
        <v>18</v>
      </c>
      <c r="F62" s="73"/>
      <c r="G62" s="82">
        <f t="shared" si="9"/>
        <v>3.1966753865095486E-9</v>
      </c>
      <c r="H62" s="83"/>
      <c r="I62" s="82">
        <f t="shared" si="10"/>
        <v>20633.763467738547</v>
      </c>
      <c r="J62" s="83"/>
      <c r="N62" s="72" t="s">
        <v>18</v>
      </c>
      <c r="O62" s="73"/>
      <c r="P62" s="74">
        <f t="shared" si="11"/>
        <v>3.609738006425852E-3</v>
      </c>
      <c r="Q62" s="74">
        <f t="shared" si="7"/>
        <v>0</v>
      </c>
      <c r="R62" s="74">
        <f t="shared" si="8"/>
        <v>3.5675495771945241E-3</v>
      </c>
      <c r="S62" s="74">
        <f t="shared" si="12"/>
        <v>6.7876547226907442E-32</v>
      </c>
    </row>
    <row r="63" spans="5:23" x14ac:dyDescent="0.3">
      <c r="E63" s="72" t="s">
        <v>19</v>
      </c>
      <c r="F63" s="73"/>
      <c r="G63" s="82">
        <f t="shared" si="9"/>
        <v>23172.586754256041</v>
      </c>
      <c r="H63" s="83"/>
      <c r="I63" s="82">
        <f t="shared" si="10"/>
        <v>7394.9207198810427</v>
      </c>
      <c r="J63" s="83"/>
      <c r="N63" s="72" t="s">
        <v>19</v>
      </c>
      <c r="O63" s="73"/>
      <c r="P63" s="74">
        <f t="shared" si="11"/>
        <v>2772.6804518704726</v>
      </c>
      <c r="Q63" s="74">
        <f t="shared" si="7"/>
        <v>0</v>
      </c>
      <c r="R63" s="74">
        <f t="shared" si="8"/>
        <v>10588.079011756288</v>
      </c>
      <c r="S63" s="74">
        <f t="shared" si="12"/>
        <v>45.104285490656316</v>
      </c>
    </row>
    <row r="64" spans="5:23" x14ac:dyDescent="0.3">
      <c r="E64" s="72" t="s">
        <v>20</v>
      </c>
      <c r="F64" s="73"/>
      <c r="G64" s="82">
        <f t="shared" si="9"/>
        <v>0</v>
      </c>
      <c r="H64" s="83"/>
      <c r="I64" s="82">
        <f t="shared" si="10"/>
        <v>0</v>
      </c>
      <c r="J64" s="83"/>
      <c r="N64" s="72" t="s">
        <v>20</v>
      </c>
      <c r="O64" s="73"/>
      <c r="P64" s="74">
        <f t="shared" si="11"/>
        <v>0</v>
      </c>
      <c r="Q64" s="74">
        <f t="shared" si="7"/>
        <v>0</v>
      </c>
      <c r="R64" s="74">
        <f t="shared" si="8"/>
        <v>0</v>
      </c>
      <c r="S64" s="74">
        <f t="shared" si="12"/>
        <v>0</v>
      </c>
    </row>
    <row r="65" spans="5:19" x14ac:dyDescent="0.3">
      <c r="E65" s="72" t="s">
        <v>21</v>
      </c>
      <c r="F65" s="73"/>
      <c r="G65" s="82">
        <f t="shared" si="9"/>
        <v>3.0786972717186732E-5</v>
      </c>
      <c r="H65" s="83"/>
      <c r="I65" s="82">
        <f t="shared" si="10"/>
        <v>3.0786972717186678E-5</v>
      </c>
      <c r="J65" s="83"/>
      <c r="N65" s="72" t="s">
        <v>21</v>
      </c>
      <c r="O65" s="73"/>
      <c r="P65" s="74">
        <f t="shared" si="11"/>
        <v>8.2373975569810243E-2</v>
      </c>
      <c r="Q65" s="74">
        <f t="shared" si="7"/>
        <v>0</v>
      </c>
      <c r="R65" s="74">
        <f t="shared" si="8"/>
        <v>2.9366681963728025E-5</v>
      </c>
      <c r="S65" s="74">
        <f t="shared" si="12"/>
        <v>2.156213408596759E-3</v>
      </c>
    </row>
    <row r="66" spans="5:19" x14ac:dyDescent="0.3">
      <c r="E66" s="72" t="s">
        <v>22</v>
      </c>
      <c r="F66" s="73"/>
      <c r="G66" s="82">
        <f t="shared" si="9"/>
        <v>1220.3447064004606</v>
      </c>
      <c r="H66" s="83"/>
      <c r="I66" s="82">
        <f t="shared" si="10"/>
        <v>1220.3447064004583</v>
      </c>
      <c r="J66" s="83"/>
      <c r="N66" s="72" t="s">
        <v>22</v>
      </c>
      <c r="O66" s="73"/>
      <c r="P66" s="74">
        <f t="shared" si="11"/>
        <v>7050.4891929842324</v>
      </c>
      <c r="Q66" s="74">
        <f t="shared" si="7"/>
        <v>0</v>
      </c>
      <c r="R66" s="74">
        <f t="shared" si="8"/>
        <v>1164.0437219404967</v>
      </c>
      <c r="S66" s="74">
        <f t="shared" si="12"/>
        <v>44.123200348395606</v>
      </c>
    </row>
    <row r="67" spans="5:19" x14ac:dyDescent="0.3">
      <c r="E67" s="75" t="s">
        <v>23</v>
      </c>
      <c r="F67" s="76"/>
      <c r="G67" s="82">
        <f t="shared" si="9"/>
        <v>706.18568404466953</v>
      </c>
      <c r="H67" s="83"/>
      <c r="I67" s="82">
        <f t="shared" si="10"/>
        <v>6216.3331479522321</v>
      </c>
      <c r="J67" s="83"/>
      <c r="N67" s="75" t="s">
        <v>23</v>
      </c>
      <c r="O67" s="76"/>
      <c r="P67" s="74">
        <f t="shared" si="11"/>
        <v>29677.95489269216</v>
      </c>
      <c r="Q67" s="74">
        <f t="shared" si="7"/>
        <v>0</v>
      </c>
      <c r="R67" s="74">
        <f t="shared" si="8"/>
        <v>673.60671021824066</v>
      </c>
      <c r="S67" s="74">
        <f t="shared" si="12"/>
        <v>29638.258121182815</v>
      </c>
    </row>
    <row r="68" spans="5:19" x14ac:dyDescent="0.3">
      <c r="E68" s="77" t="s">
        <v>34</v>
      </c>
      <c r="F68" s="77"/>
      <c r="G68" s="77">
        <f>SUM(G58:H67)</f>
        <v>53822.57813429222</v>
      </c>
      <c r="H68" s="77"/>
      <c r="I68" s="78">
        <f>SUM(I58:J67)</f>
        <v>53822.578134292096</v>
      </c>
      <c r="J68" s="79"/>
      <c r="N68" s="77" t="s">
        <v>34</v>
      </c>
      <c r="O68" s="77"/>
      <c r="P68" s="77">
        <f>SUM(P58:Q67)</f>
        <v>71000.423928629098</v>
      </c>
      <c r="Q68" s="77"/>
      <c r="R68" s="78">
        <f>SUM(R58:S67)</f>
        <v>71000.423928628967</v>
      </c>
      <c r="S68" s="79"/>
    </row>
    <row r="69" spans="5:19" x14ac:dyDescent="0.3">
      <c r="E69" s="77"/>
      <c r="F69" s="77"/>
      <c r="G69" s="77"/>
      <c r="H69" s="77"/>
      <c r="I69" s="80"/>
      <c r="J69" s="81"/>
      <c r="N69" s="77"/>
      <c r="O69" s="77"/>
      <c r="P69" s="77"/>
      <c r="Q69" s="77"/>
      <c r="R69" s="80"/>
      <c r="S69" s="81"/>
    </row>
    <row r="73" spans="5:19" x14ac:dyDescent="0.3">
      <c r="E73" s="66" t="s">
        <v>52</v>
      </c>
      <c r="F73" s="67"/>
      <c r="G73" s="68" t="s">
        <v>172</v>
      </c>
      <c r="H73" s="68"/>
      <c r="I73" s="69" t="s">
        <v>173</v>
      </c>
      <c r="J73" s="70"/>
      <c r="N73" s="66" t="s">
        <v>54</v>
      </c>
      <c r="O73" s="67"/>
      <c r="P73" s="68" t="s">
        <v>172</v>
      </c>
      <c r="Q73" s="68"/>
      <c r="R73" s="69" t="s">
        <v>173</v>
      </c>
      <c r="S73" s="70"/>
    </row>
    <row r="74" spans="5:19" x14ac:dyDescent="0.3">
      <c r="E74" s="69" t="s">
        <v>35</v>
      </c>
      <c r="F74" s="70"/>
      <c r="G74" s="82" t="s">
        <v>40</v>
      </c>
      <c r="H74" s="83"/>
      <c r="I74" s="82" t="s">
        <v>43</v>
      </c>
      <c r="J74" s="83"/>
      <c r="N74" s="69" t="s">
        <v>35</v>
      </c>
      <c r="O74" s="70"/>
      <c r="P74" s="82" t="s">
        <v>43</v>
      </c>
      <c r="Q74" s="83"/>
      <c r="R74" s="71" t="s">
        <v>44</v>
      </c>
      <c r="S74" s="71" t="s">
        <v>45</v>
      </c>
    </row>
    <row r="75" spans="5:19" x14ac:dyDescent="0.3">
      <c r="E75" s="72" t="s">
        <v>14</v>
      </c>
      <c r="F75" s="73"/>
      <c r="G75" s="84">
        <f>($O$11*O13)</f>
        <v>69.889616655604286</v>
      </c>
      <c r="H75" s="85"/>
      <c r="I75" s="84">
        <f>($P$11*P13)</f>
        <v>69.889616655604286</v>
      </c>
      <c r="J75" s="85"/>
      <c r="N75" s="72" t="s">
        <v>14</v>
      </c>
      <c r="O75" s="73"/>
      <c r="P75" s="84">
        <f>($P$11*P13)</f>
        <v>69.889616655604286</v>
      </c>
      <c r="Q75" s="85"/>
      <c r="R75" s="74">
        <f>($Q$11*Q13)</f>
        <v>72.305110609687731</v>
      </c>
      <c r="S75" s="74">
        <f>($R$11*R13)</f>
        <v>6.7252559796732864E-2</v>
      </c>
    </row>
    <row r="76" spans="5:19" x14ac:dyDescent="0.3">
      <c r="E76" s="72" t="s">
        <v>15</v>
      </c>
      <c r="F76" s="73"/>
      <c r="G76" s="84">
        <f t="shared" ref="G76:G84" si="13">($O$11*O14)</f>
        <v>96.525605756867321</v>
      </c>
      <c r="H76" s="85"/>
      <c r="I76" s="84">
        <f t="shared" ref="I76:I84" si="14">($P$11*P14)</f>
        <v>96.525605756867321</v>
      </c>
      <c r="J76" s="85"/>
      <c r="N76" s="72" t="s">
        <v>15</v>
      </c>
      <c r="O76" s="73"/>
      <c r="P76" s="84">
        <f t="shared" ref="P76:P84" si="15">($P$11*P14)</f>
        <v>96.525605756867321</v>
      </c>
      <c r="Q76" s="85"/>
      <c r="R76" s="74">
        <f t="shared" ref="R76:R84" si="16">($Q$11*Q14)</f>
        <v>99.861680960554537</v>
      </c>
      <c r="S76" s="74">
        <f t="shared" ref="S76:S84" si="17">($R$11*R14)</f>
        <v>9.2883526677049494E-2</v>
      </c>
    </row>
    <row r="77" spans="5:19" x14ac:dyDescent="0.3">
      <c r="E77" s="72" t="s">
        <v>16</v>
      </c>
      <c r="F77" s="73"/>
      <c r="G77" s="84">
        <f t="shared" si="13"/>
        <v>14862.250822605674</v>
      </c>
      <c r="H77" s="85"/>
      <c r="I77" s="84">
        <f t="shared" si="14"/>
        <v>14862.250822605674</v>
      </c>
      <c r="J77" s="85"/>
      <c r="N77" s="72" t="s">
        <v>16</v>
      </c>
      <c r="O77" s="73"/>
      <c r="P77" s="84">
        <f t="shared" si="15"/>
        <v>14862.250822605674</v>
      </c>
      <c r="Q77" s="85"/>
      <c r="R77" s="74">
        <f t="shared" si="16"/>
        <v>15375.913348227725</v>
      </c>
      <c r="S77" s="74">
        <f t="shared" si="17"/>
        <v>14.301472235664054</v>
      </c>
    </row>
    <row r="78" spans="5:19" x14ac:dyDescent="0.3">
      <c r="E78" s="72" t="s">
        <v>17</v>
      </c>
      <c r="F78" s="73"/>
      <c r="G78" s="84">
        <f t="shared" si="13"/>
        <v>60.498711222871592</v>
      </c>
      <c r="H78" s="85"/>
      <c r="I78" s="84">
        <f t="shared" si="14"/>
        <v>60.498711222871592</v>
      </c>
      <c r="J78" s="85"/>
      <c r="N78" s="72" t="s">
        <v>17</v>
      </c>
      <c r="O78" s="73"/>
      <c r="P78" s="84">
        <f t="shared" si="15"/>
        <v>60.498711222871592</v>
      </c>
      <c r="Q78" s="85"/>
      <c r="R78" s="74">
        <f t="shared" si="16"/>
        <v>62.589640865665075</v>
      </c>
      <c r="S78" s="74">
        <f t="shared" si="17"/>
        <v>5.8215989568103935E-2</v>
      </c>
    </row>
    <row r="79" spans="5:19" x14ac:dyDescent="0.3">
      <c r="E79" s="72" t="s">
        <v>18</v>
      </c>
      <c r="F79" s="73"/>
      <c r="G79" s="84">
        <f t="shared" si="13"/>
        <v>21189.97533837712</v>
      </c>
      <c r="H79" s="85"/>
      <c r="I79" s="84">
        <f t="shared" si="14"/>
        <v>21189.97533837712</v>
      </c>
      <c r="J79" s="85"/>
      <c r="N79" s="72" t="s">
        <v>18</v>
      </c>
      <c r="O79" s="73"/>
      <c r="P79" s="84">
        <f t="shared" si="15"/>
        <v>21189.97533837712</v>
      </c>
      <c r="Q79" s="85"/>
      <c r="R79" s="74">
        <f t="shared" si="16"/>
        <v>438.88779561641331</v>
      </c>
      <c r="S79" s="74">
        <f t="shared" si="17"/>
        <v>19982.629805539851</v>
      </c>
    </row>
    <row r="80" spans="5:19" x14ac:dyDescent="0.3">
      <c r="E80" s="72" t="s">
        <v>19</v>
      </c>
      <c r="F80" s="73"/>
      <c r="G80" s="84">
        <f t="shared" si="13"/>
        <v>4644.0148900235163</v>
      </c>
      <c r="H80" s="85"/>
      <c r="I80" s="84">
        <f t="shared" si="14"/>
        <v>4644.0148900235163</v>
      </c>
      <c r="J80" s="85"/>
      <c r="N80" s="72" t="s">
        <v>19</v>
      </c>
      <c r="O80" s="73"/>
      <c r="P80" s="84">
        <f t="shared" si="15"/>
        <v>4644.0148900235163</v>
      </c>
      <c r="Q80" s="85"/>
      <c r="R80" s="74">
        <f t="shared" si="16"/>
        <v>4804.5192743128318</v>
      </c>
      <c r="S80" s="74">
        <f t="shared" si="17"/>
        <v>4.468788126672016</v>
      </c>
    </row>
    <row r="81" spans="5:19" x14ac:dyDescent="0.3">
      <c r="E81" s="72" t="s">
        <v>20</v>
      </c>
      <c r="F81" s="73"/>
      <c r="G81" s="84">
        <f t="shared" si="13"/>
        <v>0</v>
      </c>
      <c r="H81" s="85"/>
      <c r="I81" s="84">
        <f t="shared" si="14"/>
        <v>0</v>
      </c>
      <c r="J81" s="85"/>
      <c r="N81" s="72" t="s">
        <v>20</v>
      </c>
      <c r="O81" s="73"/>
      <c r="P81" s="84">
        <f t="shared" si="15"/>
        <v>0</v>
      </c>
      <c r="Q81" s="85"/>
      <c r="R81" s="74">
        <f t="shared" si="16"/>
        <v>0</v>
      </c>
      <c r="S81" s="74">
        <f t="shared" si="17"/>
        <v>0</v>
      </c>
    </row>
    <row r="82" spans="5:19" x14ac:dyDescent="0.3">
      <c r="E82" s="72" t="s">
        <v>21</v>
      </c>
      <c r="F82" s="73"/>
      <c r="G82" s="84">
        <f t="shared" si="13"/>
        <v>3.4951529151230143E-18</v>
      </c>
      <c r="H82" s="85"/>
      <c r="I82" s="84">
        <f t="shared" si="14"/>
        <v>3.4951529151230143E-18</v>
      </c>
      <c r="J82" s="85"/>
      <c r="N82" s="72" t="s">
        <v>21</v>
      </c>
      <c r="O82" s="73"/>
      <c r="P82" s="84">
        <f t="shared" si="15"/>
        <v>3.4951529151230143E-18</v>
      </c>
      <c r="Q82" s="85"/>
      <c r="R82" s="74">
        <f t="shared" si="16"/>
        <v>3.6195704114506909E-18</v>
      </c>
      <c r="S82" s="74">
        <f t="shared" si="17"/>
        <v>3.3632747133438293E-18</v>
      </c>
    </row>
    <row r="83" spans="5:19" x14ac:dyDescent="0.3">
      <c r="E83" s="72" t="s">
        <v>22</v>
      </c>
      <c r="F83" s="73"/>
      <c r="G83" s="84">
        <f t="shared" si="13"/>
        <v>788.06451670430113</v>
      </c>
      <c r="H83" s="85"/>
      <c r="I83" s="84">
        <f t="shared" si="14"/>
        <v>788.06451670430113</v>
      </c>
      <c r="J83" s="85"/>
      <c r="N83" s="72" t="s">
        <v>22</v>
      </c>
      <c r="O83" s="73"/>
      <c r="P83" s="84">
        <f t="shared" si="15"/>
        <v>788.06451670430113</v>
      </c>
      <c r="Q83" s="85"/>
      <c r="R83" s="74">
        <f t="shared" si="16"/>
        <v>815.30125324139055</v>
      </c>
      <c r="S83" s="74">
        <f t="shared" si="17"/>
        <v>0.75832947109303439</v>
      </c>
    </row>
    <row r="84" spans="5:19" x14ac:dyDescent="0.3">
      <c r="E84" s="75" t="s">
        <v>23</v>
      </c>
      <c r="F84" s="76"/>
      <c r="G84" s="84">
        <f t="shared" si="13"/>
        <v>1110.9347043217745</v>
      </c>
      <c r="H84" s="85"/>
      <c r="I84" s="84">
        <f t="shared" si="14"/>
        <v>1110.9347043217745</v>
      </c>
      <c r="J84" s="85"/>
      <c r="N84" s="75" t="s">
        <v>23</v>
      </c>
      <c r="O84" s="76"/>
      <c r="P84" s="84">
        <f t="shared" si="15"/>
        <v>1110.9347043217745</v>
      </c>
      <c r="Q84" s="85"/>
      <c r="R84" s="74">
        <f t="shared" si="16"/>
        <v>1149.330337179425</v>
      </c>
      <c r="S84" s="74">
        <f t="shared" si="17"/>
        <v>1.0690172046704836</v>
      </c>
    </row>
    <row r="85" spans="5:19" x14ac:dyDescent="0.3">
      <c r="E85" s="77" t="s">
        <v>34</v>
      </c>
      <c r="F85" s="77"/>
      <c r="G85" s="77">
        <f>SUM(G75:H84)</f>
        <v>42822.154205667728</v>
      </c>
      <c r="H85" s="77"/>
      <c r="I85" s="78">
        <f>SUM(I75:J84)</f>
        <v>42822.154205667728</v>
      </c>
      <c r="J85" s="79"/>
      <c r="N85" s="77" t="s">
        <v>34</v>
      </c>
      <c r="O85" s="77"/>
      <c r="P85" s="77">
        <f>SUM(P75:Q84)</f>
        <v>42822.154205667728</v>
      </c>
      <c r="Q85" s="77"/>
      <c r="R85" s="78">
        <f>SUM(R75:S84)</f>
        <v>42822.154205667677</v>
      </c>
      <c r="S85" s="79"/>
    </row>
    <row r="86" spans="5:19" x14ac:dyDescent="0.3">
      <c r="E86" s="77"/>
      <c r="F86" s="77"/>
      <c r="G86" s="77"/>
      <c r="H86" s="77"/>
      <c r="I86" s="80"/>
      <c r="J86" s="81"/>
      <c r="N86" s="77"/>
      <c r="O86" s="77"/>
      <c r="P86" s="77"/>
      <c r="Q86" s="77"/>
      <c r="R86" s="80"/>
      <c r="S86" s="81"/>
    </row>
    <row r="90" spans="5:19" x14ac:dyDescent="0.3">
      <c r="E90" s="66" t="s">
        <v>57</v>
      </c>
      <c r="F90" s="67"/>
      <c r="G90" s="68" t="s">
        <v>172</v>
      </c>
      <c r="H90" s="68"/>
      <c r="I90" s="69" t="s">
        <v>173</v>
      </c>
      <c r="J90" s="70"/>
      <c r="N90" s="66" t="s">
        <v>53</v>
      </c>
      <c r="O90" s="67"/>
      <c r="P90" s="68" t="s">
        <v>172</v>
      </c>
      <c r="Q90" s="68"/>
      <c r="R90" s="69" t="s">
        <v>173</v>
      </c>
      <c r="S90" s="70"/>
    </row>
    <row r="91" spans="5:19" x14ac:dyDescent="0.3">
      <c r="E91" s="69" t="s">
        <v>35</v>
      </c>
      <c r="F91" s="70"/>
      <c r="G91" s="82" t="s">
        <v>42</v>
      </c>
      <c r="H91" s="83"/>
      <c r="I91" s="71" t="s">
        <v>55</v>
      </c>
      <c r="J91" s="71" t="s">
        <v>56</v>
      </c>
      <c r="N91" s="69" t="s">
        <v>35</v>
      </c>
      <c r="O91" s="70"/>
      <c r="P91" s="82" t="s">
        <v>45</v>
      </c>
      <c r="Q91" s="83"/>
      <c r="R91" s="71" t="s">
        <v>46</v>
      </c>
      <c r="S91" s="71" t="s">
        <v>47</v>
      </c>
    </row>
    <row r="92" spans="5:19" x14ac:dyDescent="0.3">
      <c r="E92" s="72" t="s">
        <v>14</v>
      </c>
      <c r="F92" s="73"/>
      <c r="G92" s="84">
        <f>R58</f>
        <v>9.4697193255655616</v>
      </c>
      <c r="H92" s="85"/>
      <c r="I92" s="74">
        <f t="shared" ref="I92:I101" si="18">($M$11*M13)</f>
        <v>2.2452231072328628</v>
      </c>
      <c r="J92" s="74">
        <f>($N$11*N13)</f>
        <v>8.1749976681110148</v>
      </c>
      <c r="N92" s="72" t="s">
        <v>14</v>
      </c>
      <c r="O92" s="73"/>
      <c r="P92" s="84">
        <f>($R$11*R13)</f>
        <v>6.7252559796732864E-2</v>
      </c>
      <c r="Q92" s="85"/>
      <c r="R92" s="74">
        <f>($S$11*S13)</f>
        <v>7.2478098628601731E-2</v>
      </c>
      <c r="S92" s="74">
        <f>($T$11*T13)</f>
        <v>0</v>
      </c>
    </row>
    <row r="93" spans="5:19" x14ac:dyDescent="0.3">
      <c r="E93" s="72" t="s">
        <v>15</v>
      </c>
      <c r="F93" s="73"/>
      <c r="G93" s="84">
        <f t="shared" ref="G93:G101" si="19">R59</f>
        <v>32.139070952146938</v>
      </c>
      <c r="H93" s="85"/>
      <c r="I93" s="74">
        <f t="shared" si="18"/>
        <v>8.3983023508764116</v>
      </c>
      <c r="J93" s="74">
        <f t="shared" ref="J93:J101" si="20">($N$11*N14)</f>
        <v>26.396733255954636</v>
      </c>
      <c r="N93" s="72" t="s">
        <v>15</v>
      </c>
      <c r="O93" s="73"/>
      <c r="P93" s="84">
        <f t="shared" ref="P93:P101" si="21">($R$11*R14)</f>
        <v>9.2883526677049494E-2</v>
      </c>
      <c r="Q93" s="85"/>
      <c r="R93" s="74">
        <f t="shared" ref="R93:R101" si="22">($S$11*S14)</f>
        <v>0.10010059732772572</v>
      </c>
      <c r="S93" s="74">
        <f t="shared" ref="S93:S101" si="23">($T$11*T14)</f>
        <v>0</v>
      </c>
    </row>
    <row r="94" spans="5:19" x14ac:dyDescent="0.3">
      <c r="E94" s="72" t="s">
        <v>16</v>
      </c>
      <c r="F94" s="73"/>
      <c r="G94" s="84">
        <f t="shared" si="19"/>
        <v>19478.741625087343</v>
      </c>
      <c r="H94" s="85"/>
      <c r="I94" s="74">
        <f t="shared" si="18"/>
        <v>10574.045071989845</v>
      </c>
      <c r="J94" s="74">
        <f t="shared" si="20"/>
        <v>6498.6012064688266</v>
      </c>
      <c r="N94" s="72" t="s">
        <v>16</v>
      </c>
      <c r="O94" s="73"/>
      <c r="P94" s="84">
        <f t="shared" si="21"/>
        <v>14.301472235664054</v>
      </c>
      <c r="Q94" s="85"/>
      <c r="R94" s="74">
        <f t="shared" si="22"/>
        <v>15.412699804491664</v>
      </c>
      <c r="S94" s="74">
        <f t="shared" si="23"/>
        <v>0</v>
      </c>
    </row>
    <row r="95" spans="5:19" x14ac:dyDescent="0.3">
      <c r="E95" s="72" t="s">
        <v>17</v>
      </c>
      <c r="F95" s="73"/>
      <c r="G95" s="84">
        <f t="shared" si="19"/>
        <v>11.213909127953183</v>
      </c>
      <c r="H95" s="85"/>
      <c r="I95" s="74">
        <f t="shared" si="18"/>
        <v>3.6138029902479189E-49</v>
      </c>
      <c r="J95" s="74">
        <f t="shared" si="20"/>
        <v>14.286422336916155</v>
      </c>
      <c r="N95" s="72" t="s">
        <v>17</v>
      </c>
      <c r="O95" s="73"/>
      <c r="P95" s="84">
        <f t="shared" si="21"/>
        <v>5.8215989568103935E-2</v>
      </c>
      <c r="Q95" s="85"/>
      <c r="R95" s="74">
        <f t="shared" si="22"/>
        <v>6.2739384886337873E-2</v>
      </c>
      <c r="S95" s="74">
        <f t="shared" si="23"/>
        <v>0</v>
      </c>
    </row>
    <row r="96" spans="5:19" x14ac:dyDescent="0.3">
      <c r="E96" s="72" t="s">
        <v>18</v>
      </c>
      <c r="F96" s="73"/>
      <c r="G96" s="84">
        <f t="shared" si="19"/>
        <v>3.5675495771945241E-3</v>
      </c>
      <c r="H96" s="85"/>
      <c r="I96" s="74">
        <f t="shared" si="18"/>
        <v>2.6237319155043111E-3</v>
      </c>
      <c r="J96" s="74">
        <f t="shared" si="20"/>
        <v>3.8846329003467336E-9</v>
      </c>
      <c r="N96" s="72" t="s">
        <v>18</v>
      </c>
      <c r="O96" s="73"/>
      <c r="P96" s="84">
        <f t="shared" si="21"/>
        <v>19982.629805539851</v>
      </c>
      <c r="Q96" s="85"/>
      <c r="R96" s="74">
        <f t="shared" si="22"/>
        <v>2.2836308149825512E-6</v>
      </c>
      <c r="S96" s="74">
        <f t="shared" si="23"/>
        <v>19981.012398610201</v>
      </c>
    </row>
    <row r="97" spans="5:24" x14ac:dyDescent="0.3">
      <c r="E97" s="72" t="s">
        <v>19</v>
      </c>
      <c r="F97" s="73"/>
      <c r="G97" s="84">
        <f t="shared" si="19"/>
        <v>10588.079011756288</v>
      </c>
      <c r="H97" s="85"/>
      <c r="I97" s="74">
        <f t="shared" si="18"/>
        <v>1372.6061614550224</v>
      </c>
      <c r="J97" s="74">
        <f t="shared" si="20"/>
        <v>11111.389976787321</v>
      </c>
      <c r="N97" s="72" t="s">
        <v>19</v>
      </c>
      <c r="O97" s="73"/>
      <c r="P97" s="84">
        <f t="shared" si="21"/>
        <v>4.468788126672016</v>
      </c>
      <c r="Q97" s="85"/>
      <c r="R97" s="74">
        <f t="shared" si="22"/>
        <v>4.8160139565571392</v>
      </c>
      <c r="S97" s="74">
        <f t="shared" si="23"/>
        <v>0</v>
      </c>
    </row>
    <row r="98" spans="5:24" x14ac:dyDescent="0.3">
      <c r="E98" s="72" t="s">
        <v>20</v>
      </c>
      <c r="F98" s="73"/>
      <c r="G98" s="84">
        <f t="shared" si="19"/>
        <v>0</v>
      </c>
      <c r="H98" s="85"/>
      <c r="I98" s="74">
        <f t="shared" si="18"/>
        <v>0</v>
      </c>
      <c r="J98" s="74">
        <f t="shared" si="20"/>
        <v>0</v>
      </c>
      <c r="N98" s="72" t="s">
        <v>20</v>
      </c>
      <c r="O98" s="73"/>
      <c r="P98" s="84">
        <f t="shared" si="21"/>
        <v>0</v>
      </c>
      <c r="Q98" s="85"/>
      <c r="R98" s="74">
        <f t="shared" si="22"/>
        <v>0</v>
      </c>
      <c r="S98" s="74">
        <f t="shared" si="23"/>
        <v>0</v>
      </c>
    </row>
    <row r="99" spans="5:24" x14ac:dyDescent="0.3">
      <c r="E99" s="72" t="s">
        <v>21</v>
      </c>
      <c r="F99" s="73"/>
      <c r="G99" s="84">
        <f t="shared" si="19"/>
        <v>2.9366681963728025E-5</v>
      </c>
      <c r="H99" s="85"/>
      <c r="I99" s="74">
        <f t="shared" si="18"/>
        <v>6.1223437319847807E-80</v>
      </c>
      <c r="J99" s="74">
        <f t="shared" si="20"/>
        <v>3.7412896464615222E-5</v>
      </c>
      <c r="N99" s="72" t="s">
        <v>21</v>
      </c>
      <c r="O99" s="73"/>
      <c r="P99" s="84">
        <f t="shared" si="21"/>
        <v>3.3632747133438293E-18</v>
      </c>
      <c r="Q99" s="85"/>
      <c r="R99" s="74">
        <f t="shared" si="22"/>
        <v>3.6246019054974007E-18</v>
      </c>
      <c r="S99" s="74">
        <f t="shared" si="23"/>
        <v>0</v>
      </c>
    </row>
    <row r="100" spans="5:24" x14ac:dyDescent="0.3">
      <c r="E100" s="72" t="s">
        <v>22</v>
      </c>
      <c r="F100" s="73"/>
      <c r="G100" s="84">
        <f t="shared" si="19"/>
        <v>1164.0437219404967</v>
      </c>
      <c r="H100" s="85"/>
      <c r="I100" s="74">
        <f t="shared" si="18"/>
        <v>1.1866316472184716E-16</v>
      </c>
      <c r="J100" s="74">
        <f t="shared" si="20"/>
        <v>1482.981540203823</v>
      </c>
      <c r="N100" s="72" t="s">
        <v>22</v>
      </c>
      <c r="O100" s="73"/>
      <c r="P100" s="84">
        <f t="shared" si="21"/>
        <v>0.75832947109303439</v>
      </c>
      <c r="Q100" s="85"/>
      <c r="R100" s="74">
        <f t="shared" si="22"/>
        <v>0.81725183940918733</v>
      </c>
      <c r="S100" s="74">
        <f t="shared" si="23"/>
        <v>0</v>
      </c>
    </row>
    <row r="101" spans="5:24" x14ac:dyDescent="0.3">
      <c r="E101" s="75" t="s">
        <v>23</v>
      </c>
      <c r="F101" s="76"/>
      <c r="G101" s="84">
        <f t="shared" si="19"/>
        <v>673.60671021824066</v>
      </c>
      <c r="H101" s="85"/>
      <c r="I101" s="74">
        <f t="shared" si="18"/>
        <v>1.0050435322654219E-27</v>
      </c>
      <c r="J101" s="74">
        <f t="shared" si="20"/>
        <v>858.16906855165507</v>
      </c>
      <c r="N101" s="75" t="s">
        <v>23</v>
      </c>
      <c r="O101" s="76"/>
      <c r="P101" s="84">
        <f t="shared" si="21"/>
        <v>1.0690172046704836</v>
      </c>
      <c r="Q101" s="85"/>
      <c r="R101" s="74">
        <f t="shared" si="22"/>
        <v>1.1520800788841259</v>
      </c>
      <c r="S101" s="74">
        <f t="shared" si="23"/>
        <v>0</v>
      </c>
    </row>
    <row r="102" spans="5:24" x14ac:dyDescent="0.3">
      <c r="E102" s="77" t="s">
        <v>34</v>
      </c>
      <c r="F102" s="77"/>
      <c r="G102" s="77">
        <f>SUM(G92:H101)</f>
        <v>31957.297365324292</v>
      </c>
      <c r="H102" s="77"/>
      <c r="I102" s="78">
        <f>SUM(I92:J101)</f>
        <v>31957.297365324281</v>
      </c>
      <c r="J102" s="79"/>
      <c r="N102" s="77" t="s">
        <v>34</v>
      </c>
      <c r="O102" s="77"/>
      <c r="P102" s="77">
        <f>SUM(P92:Q101)</f>
        <v>20003.445764653992</v>
      </c>
      <c r="Q102" s="77"/>
      <c r="R102" s="78">
        <f>SUM(R92:S101)</f>
        <v>20003.445764654021</v>
      </c>
      <c r="S102" s="79"/>
    </row>
    <row r="103" spans="5:24" x14ac:dyDescent="0.3">
      <c r="E103" s="77"/>
      <c r="F103" s="77"/>
      <c r="G103" s="77"/>
      <c r="H103" s="77"/>
      <c r="I103" s="80"/>
      <c r="J103" s="81"/>
      <c r="N103" s="77"/>
      <c r="O103" s="77"/>
      <c r="P103" s="77"/>
      <c r="Q103" s="77"/>
      <c r="R103" s="80"/>
      <c r="S103" s="81"/>
    </row>
    <row r="107" spans="5:24" x14ac:dyDescent="0.3">
      <c r="N107" s="66" t="s">
        <v>58</v>
      </c>
      <c r="O107" s="67"/>
      <c r="P107" s="69" t="s">
        <v>172</v>
      </c>
      <c r="Q107" s="70"/>
      <c r="R107" s="70"/>
      <c r="S107" s="86"/>
      <c r="T107" s="69" t="s">
        <v>173</v>
      </c>
      <c r="U107" s="70"/>
      <c r="V107" s="70"/>
      <c r="W107" s="70"/>
      <c r="X107" s="70"/>
    </row>
    <row r="108" spans="5:24" x14ac:dyDescent="0.3">
      <c r="N108" s="69" t="s">
        <v>35</v>
      </c>
      <c r="O108" s="70"/>
      <c r="P108" s="87" t="s">
        <v>59</v>
      </c>
      <c r="Q108" s="87" t="s">
        <v>60</v>
      </c>
      <c r="R108" s="71" t="s">
        <v>37</v>
      </c>
      <c r="S108" s="71" t="s">
        <v>39</v>
      </c>
      <c r="T108" s="71" t="s">
        <v>51</v>
      </c>
      <c r="U108" s="71" t="s">
        <v>55</v>
      </c>
      <c r="V108" s="71" t="s">
        <v>44</v>
      </c>
      <c r="W108" s="71" t="s">
        <v>46</v>
      </c>
      <c r="X108" s="71" t="s">
        <v>47</v>
      </c>
    </row>
    <row r="109" spans="5:24" x14ac:dyDescent="0.3">
      <c r="N109" s="72" t="s">
        <v>14</v>
      </c>
      <c r="O109" s="73"/>
      <c r="P109" s="74">
        <f>($E$11*E13)</f>
        <v>7700.0000000000009</v>
      </c>
      <c r="Q109" s="74">
        <f>($F$11*F13)</f>
        <v>0</v>
      </c>
      <c r="R109" s="74">
        <f>($I$11*I13)</f>
        <v>0</v>
      </c>
      <c r="S109" s="74">
        <f>Q58</f>
        <v>0</v>
      </c>
      <c r="T109" s="74">
        <f>S58</f>
        <v>0.12995635129064154</v>
      </c>
      <c r="U109" s="74">
        <f>I92</f>
        <v>2.2452231072328628</v>
      </c>
      <c r="V109" s="74">
        <f>R75</f>
        <v>72.305110609687731</v>
      </c>
      <c r="W109" s="74">
        <f>R92</f>
        <v>7.2478098628601731E-2</v>
      </c>
      <c r="X109" s="74">
        <f>S92</f>
        <v>0</v>
      </c>
    </row>
    <row r="110" spans="5:24" x14ac:dyDescent="0.3">
      <c r="N110" s="72" t="s">
        <v>15</v>
      </c>
      <c r="O110" s="73"/>
      <c r="P110" s="74">
        <f t="shared" ref="P110:P118" si="24">($E$11*E14)</f>
        <v>6300</v>
      </c>
      <c r="Q110" s="74">
        <f t="shared" ref="Q110:Q118" si="25">($F$11*F14)</f>
        <v>0</v>
      </c>
      <c r="R110" s="74">
        <f t="shared" ref="R110:R118" si="26">($I$11*I14)</f>
        <v>0</v>
      </c>
      <c r="S110" s="74">
        <f t="shared" ref="S110:S118" si="27">Q59</f>
        <v>0</v>
      </c>
      <c r="T110" s="74">
        <f t="shared" ref="T110:T118" si="28">S59</f>
        <v>0.45652637676685265</v>
      </c>
      <c r="U110" s="74">
        <f t="shared" ref="U110:U118" si="29">I93</f>
        <v>8.3983023508764116</v>
      </c>
      <c r="V110" s="74">
        <f t="shared" ref="V110:V118" si="30">R76</f>
        <v>99.861680960554537</v>
      </c>
      <c r="W110" s="74">
        <f t="shared" ref="W110:W118" si="31">R93</f>
        <v>0.10010059732772572</v>
      </c>
      <c r="X110" s="74">
        <f t="shared" ref="X110:X118" si="32">S93</f>
        <v>0</v>
      </c>
    </row>
    <row r="111" spans="5:24" x14ac:dyDescent="0.3">
      <c r="N111" s="72" t="s">
        <v>16</v>
      </c>
      <c r="O111" s="73"/>
      <c r="P111" s="74">
        <f t="shared" si="24"/>
        <v>0</v>
      </c>
      <c r="Q111" s="74">
        <f t="shared" si="25"/>
        <v>7822.4104922771776</v>
      </c>
      <c r="R111" s="74">
        <f t="shared" si="26"/>
        <v>0</v>
      </c>
      <c r="S111" s="74">
        <f t="shared" si="27"/>
        <v>24000</v>
      </c>
      <c r="T111" s="74">
        <f t="shared" si="28"/>
        <v>6358.8263870679766</v>
      </c>
      <c r="U111" s="74">
        <f t="shared" si="29"/>
        <v>10574.045071989845</v>
      </c>
      <c r="V111" s="74">
        <f t="shared" si="30"/>
        <v>15375.913348227725</v>
      </c>
      <c r="W111" s="74">
        <f t="shared" si="31"/>
        <v>15.412699804491664</v>
      </c>
      <c r="X111" s="74">
        <f t="shared" si="32"/>
        <v>0</v>
      </c>
    </row>
    <row r="112" spans="5:24" x14ac:dyDescent="0.3">
      <c r="N112" s="72" t="s">
        <v>17</v>
      </c>
      <c r="O112" s="73"/>
      <c r="P112" s="74">
        <f t="shared" si="24"/>
        <v>0</v>
      </c>
      <c r="Q112" s="74">
        <f t="shared" si="25"/>
        <v>0</v>
      </c>
      <c r="R112" s="74">
        <f t="shared" si="26"/>
        <v>7560</v>
      </c>
      <c r="S112" s="74">
        <f t="shared" si="27"/>
        <v>0</v>
      </c>
      <c r="T112" s="74">
        <f t="shared" si="28"/>
        <v>2956.2259302733669</v>
      </c>
      <c r="U112" s="74">
        <f t="shared" si="29"/>
        <v>3.6138029902479189E-49</v>
      </c>
      <c r="V112" s="74">
        <f t="shared" si="30"/>
        <v>62.589640865665075</v>
      </c>
      <c r="W112" s="74">
        <f t="shared" si="31"/>
        <v>6.2739384886337873E-2</v>
      </c>
      <c r="X112" s="74">
        <f t="shared" si="32"/>
        <v>0</v>
      </c>
    </row>
    <row r="113" spans="14:24" x14ac:dyDescent="0.3">
      <c r="N113" s="72" t="s">
        <v>18</v>
      </c>
      <c r="O113" s="73"/>
      <c r="P113" s="74">
        <f t="shared" si="24"/>
        <v>0</v>
      </c>
      <c r="Q113" s="74">
        <f t="shared" si="25"/>
        <v>0</v>
      </c>
      <c r="R113" s="74">
        <f t="shared" si="26"/>
        <v>0</v>
      </c>
      <c r="S113" s="74">
        <f t="shared" si="27"/>
        <v>0</v>
      </c>
      <c r="T113" s="74">
        <f t="shared" si="28"/>
        <v>6.7876547226907442E-32</v>
      </c>
      <c r="U113" s="74">
        <f t="shared" si="29"/>
        <v>2.6237319155043111E-3</v>
      </c>
      <c r="V113" s="74">
        <f t="shared" si="30"/>
        <v>438.88779561641331</v>
      </c>
      <c r="W113" s="74">
        <f t="shared" si="31"/>
        <v>2.2836308149825512E-6</v>
      </c>
      <c r="X113" s="74">
        <f t="shared" si="32"/>
        <v>19981.012398610201</v>
      </c>
    </row>
    <row r="114" spans="14:24" x14ac:dyDescent="0.3">
      <c r="N114" s="72" t="s">
        <v>19</v>
      </c>
      <c r="O114" s="73"/>
      <c r="P114" s="74">
        <f t="shared" si="24"/>
        <v>0</v>
      </c>
      <c r="Q114" s="74">
        <f t="shared" si="25"/>
        <v>11999.903807009503</v>
      </c>
      <c r="R114" s="74">
        <f t="shared" si="26"/>
        <v>0</v>
      </c>
      <c r="S114" s="74">
        <f t="shared" si="27"/>
        <v>0</v>
      </c>
      <c r="T114" s="74">
        <f t="shared" si="28"/>
        <v>45.104285490656316</v>
      </c>
      <c r="U114" s="74">
        <f t="shared" si="29"/>
        <v>1372.6061614550224</v>
      </c>
      <c r="V114" s="74">
        <f t="shared" si="30"/>
        <v>4804.5192743128318</v>
      </c>
      <c r="W114" s="74">
        <f t="shared" si="31"/>
        <v>4.8160139565571392</v>
      </c>
      <c r="X114" s="74">
        <f t="shared" si="32"/>
        <v>0</v>
      </c>
    </row>
    <row r="115" spans="14:24" x14ac:dyDescent="0.3">
      <c r="N115" s="72" t="s">
        <v>20</v>
      </c>
      <c r="O115" s="73"/>
      <c r="P115" s="74">
        <f t="shared" si="24"/>
        <v>0</v>
      </c>
      <c r="Q115" s="74">
        <f t="shared" si="25"/>
        <v>0</v>
      </c>
      <c r="R115" s="74">
        <f t="shared" si="26"/>
        <v>0</v>
      </c>
      <c r="S115" s="74">
        <f t="shared" si="27"/>
        <v>0</v>
      </c>
      <c r="T115" s="74">
        <f t="shared" si="28"/>
        <v>0</v>
      </c>
      <c r="U115" s="74">
        <f t="shared" si="29"/>
        <v>0</v>
      </c>
      <c r="V115" s="74">
        <f t="shared" si="30"/>
        <v>0</v>
      </c>
      <c r="W115" s="74">
        <f t="shared" si="31"/>
        <v>0</v>
      </c>
      <c r="X115" s="74">
        <f t="shared" si="32"/>
        <v>0</v>
      </c>
    </row>
    <row r="116" spans="14:24" x14ac:dyDescent="0.3">
      <c r="N116" s="72" t="s">
        <v>21</v>
      </c>
      <c r="O116" s="73"/>
      <c r="P116" s="74">
        <f t="shared" si="24"/>
        <v>0</v>
      </c>
      <c r="Q116" s="74">
        <f t="shared" si="25"/>
        <v>0</v>
      </c>
      <c r="R116" s="74">
        <f t="shared" si="26"/>
        <v>0</v>
      </c>
      <c r="S116" s="74">
        <f t="shared" si="27"/>
        <v>0</v>
      </c>
      <c r="T116" s="74">
        <f t="shared" si="28"/>
        <v>2.156213408596759E-3</v>
      </c>
      <c r="U116" s="74">
        <f t="shared" si="29"/>
        <v>6.1223437319847807E-80</v>
      </c>
      <c r="V116" s="74">
        <f t="shared" si="30"/>
        <v>3.6195704114506909E-18</v>
      </c>
      <c r="W116" s="74">
        <f t="shared" si="31"/>
        <v>3.6246019054974007E-18</v>
      </c>
      <c r="X116" s="74">
        <f t="shared" si="32"/>
        <v>0</v>
      </c>
    </row>
    <row r="117" spans="14:24" x14ac:dyDescent="0.3">
      <c r="N117" s="72" t="s">
        <v>22</v>
      </c>
      <c r="O117" s="73"/>
      <c r="P117" s="74">
        <f t="shared" si="24"/>
        <v>0</v>
      </c>
      <c r="Q117" s="74">
        <f t="shared" si="25"/>
        <v>0</v>
      </c>
      <c r="R117" s="74">
        <f t="shared" si="26"/>
        <v>0</v>
      </c>
      <c r="S117" s="74">
        <f t="shared" si="27"/>
        <v>0</v>
      </c>
      <c r="T117" s="74">
        <f t="shared" si="28"/>
        <v>44.123200348395606</v>
      </c>
      <c r="U117" s="74">
        <f t="shared" si="29"/>
        <v>1.1866316472184716E-16</v>
      </c>
      <c r="V117" s="74">
        <f t="shared" si="30"/>
        <v>815.30125324139055</v>
      </c>
      <c r="W117" s="74">
        <f t="shared" si="31"/>
        <v>0.81725183940918733</v>
      </c>
      <c r="X117" s="74">
        <f t="shared" si="32"/>
        <v>0</v>
      </c>
    </row>
    <row r="118" spans="14:24" x14ac:dyDescent="0.3">
      <c r="N118" s="75" t="s">
        <v>23</v>
      </c>
      <c r="O118" s="76"/>
      <c r="P118" s="74">
        <f t="shared" si="24"/>
        <v>0</v>
      </c>
      <c r="Q118" s="74">
        <f t="shared" si="25"/>
        <v>0</v>
      </c>
      <c r="R118" s="74">
        <f t="shared" si="26"/>
        <v>28440</v>
      </c>
      <c r="S118" s="74">
        <f t="shared" si="27"/>
        <v>0</v>
      </c>
      <c r="T118" s="74">
        <f t="shared" si="28"/>
        <v>29638.258121182815</v>
      </c>
      <c r="U118" s="74">
        <f t="shared" si="29"/>
        <v>1.0050435322654219E-27</v>
      </c>
      <c r="V118" s="74">
        <f t="shared" si="30"/>
        <v>1149.330337179425</v>
      </c>
      <c r="W118" s="74">
        <f t="shared" si="31"/>
        <v>1.1520800788841259</v>
      </c>
      <c r="X118" s="74">
        <f t="shared" si="32"/>
        <v>0</v>
      </c>
    </row>
    <row r="119" spans="14:24" x14ac:dyDescent="0.3">
      <c r="N119" s="77" t="s">
        <v>34</v>
      </c>
      <c r="O119" s="77"/>
      <c r="P119" s="78">
        <f>SUM(P109:S118)</f>
        <v>93822.314299286692</v>
      </c>
      <c r="Q119" s="88"/>
      <c r="R119" s="88"/>
      <c r="S119" s="79"/>
      <c r="T119" s="77">
        <v>93822.31</v>
      </c>
      <c r="U119" s="77"/>
      <c r="V119" s="77"/>
      <c r="W119" s="77"/>
      <c r="X119" s="77"/>
    </row>
    <row r="120" spans="14:24" x14ac:dyDescent="0.3">
      <c r="N120" s="77"/>
      <c r="O120" s="77"/>
      <c r="P120" s="80"/>
      <c r="Q120" s="89"/>
      <c r="R120" s="89"/>
      <c r="S120" s="81"/>
      <c r="T120" s="77"/>
      <c r="U120" s="77"/>
      <c r="V120" s="77"/>
      <c r="W120" s="77"/>
      <c r="X120" s="77"/>
    </row>
  </sheetData>
  <mergeCells count="263">
    <mergeCell ref="T107:X107"/>
    <mergeCell ref="T119:X120"/>
    <mergeCell ref="E102:F103"/>
    <mergeCell ref="G102:H103"/>
    <mergeCell ref="I102:J103"/>
    <mergeCell ref="E97:F97"/>
    <mergeCell ref="G97:H97"/>
    <mergeCell ref="E98:F98"/>
    <mergeCell ref="G98:H98"/>
    <mergeCell ref="E99:F99"/>
    <mergeCell ref="G99:H99"/>
    <mergeCell ref="E100:F100"/>
    <mergeCell ref="G100:H100"/>
    <mergeCell ref="E101:F101"/>
    <mergeCell ref="G101:H101"/>
    <mergeCell ref="N101:O101"/>
    <mergeCell ref="P101:Q101"/>
    <mergeCell ref="N102:O103"/>
    <mergeCell ref="P102:Q103"/>
    <mergeCell ref="P97:Q97"/>
    <mergeCell ref="N98:O98"/>
    <mergeCell ref="P98:Q98"/>
    <mergeCell ref="N99:O99"/>
    <mergeCell ref="P99:Q99"/>
    <mergeCell ref="E92:F92"/>
    <mergeCell ref="G92:H92"/>
    <mergeCell ref="E93:F93"/>
    <mergeCell ref="G93:H93"/>
    <mergeCell ref="E94:F94"/>
    <mergeCell ref="G94:H94"/>
    <mergeCell ref="E95:F95"/>
    <mergeCell ref="G95:H95"/>
    <mergeCell ref="E96:F96"/>
    <mergeCell ref="G96:H96"/>
    <mergeCell ref="E44:F44"/>
    <mergeCell ref="I40:J40"/>
    <mergeCell ref="E90:F90"/>
    <mergeCell ref="G90:H90"/>
    <mergeCell ref="I90:J90"/>
    <mergeCell ref="E91:F91"/>
    <mergeCell ref="G91:H91"/>
    <mergeCell ref="E50:F50"/>
    <mergeCell ref="E51:F51"/>
    <mergeCell ref="E45:F45"/>
    <mergeCell ref="G52:H53"/>
    <mergeCell ref="E46:F46"/>
    <mergeCell ref="E47:F47"/>
    <mergeCell ref="E48:F48"/>
    <mergeCell ref="E49:F49"/>
    <mergeCell ref="E52:F53"/>
    <mergeCell ref="E57:F57"/>
    <mergeCell ref="E58:F58"/>
    <mergeCell ref="E59:F59"/>
    <mergeCell ref="E60:F60"/>
    <mergeCell ref="E61:F61"/>
    <mergeCell ref="E5:E6"/>
    <mergeCell ref="F5:F6"/>
    <mergeCell ref="G5:G6"/>
    <mergeCell ref="H5:H6"/>
    <mergeCell ref="U5:U6"/>
    <mergeCell ref="V5:V6"/>
    <mergeCell ref="E41:F41"/>
    <mergeCell ref="E42:F42"/>
    <mergeCell ref="E43:F43"/>
    <mergeCell ref="R56:S56"/>
    <mergeCell ref="N57:O57"/>
    <mergeCell ref="N58:O58"/>
    <mergeCell ref="N59:O59"/>
    <mergeCell ref="S52:T53"/>
    <mergeCell ref="N56:O56"/>
    <mergeCell ref="W5:W6"/>
    <mergeCell ref="C12:W12"/>
    <mergeCell ref="G40:H40"/>
    <mergeCell ref="O5:O6"/>
    <mergeCell ref="P5:P6"/>
    <mergeCell ref="Q5:Q6"/>
    <mergeCell ref="R5:R6"/>
    <mergeCell ref="S5:S6"/>
    <mergeCell ref="T5:T6"/>
    <mergeCell ref="I5:I6"/>
    <mergeCell ref="J5:J6"/>
    <mergeCell ref="L5:L6"/>
    <mergeCell ref="K5:K6"/>
    <mergeCell ref="M5:M6"/>
    <mergeCell ref="E40:F40"/>
    <mergeCell ref="N5:N6"/>
    <mergeCell ref="C5:C6"/>
    <mergeCell ref="D5:D6"/>
    <mergeCell ref="N63:O63"/>
    <mergeCell ref="N64:O64"/>
    <mergeCell ref="N65:O65"/>
    <mergeCell ref="N66:O66"/>
    <mergeCell ref="N67:O67"/>
    <mergeCell ref="P68:Q69"/>
    <mergeCell ref="I52:J53"/>
    <mergeCell ref="E56:F56"/>
    <mergeCell ref="G56:H56"/>
    <mergeCell ref="I56:J56"/>
    <mergeCell ref="P56:Q56"/>
    <mergeCell ref="R68:S69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I57:J57"/>
    <mergeCell ref="I58:J58"/>
    <mergeCell ref="I59:J59"/>
    <mergeCell ref="I67:J67"/>
    <mergeCell ref="G68:H69"/>
    <mergeCell ref="I68:J69"/>
    <mergeCell ref="N68:O69"/>
    <mergeCell ref="I60:J60"/>
    <mergeCell ref="I61:J61"/>
    <mergeCell ref="N60:O60"/>
    <mergeCell ref="N61:O61"/>
    <mergeCell ref="N62:O62"/>
    <mergeCell ref="E73:F73"/>
    <mergeCell ref="G73:H73"/>
    <mergeCell ref="I73:J73"/>
    <mergeCell ref="E74:F74"/>
    <mergeCell ref="I62:J62"/>
    <mergeCell ref="I63:J63"/>
    <mergeCell ref="I64:J64"/>
    <mergeCell ref="I65:J65"/>
    <mergeCell ref="I66:J66"/>
    <mergeCell ref="E65:F65"/>
    <mergeCell ref="E66:F66"/>
    <mergeCell ref="G74:H74"/>
    <mergeCell ref="I74:J74"/>
    <mergeCell ref="E67:F67"/>
    <mergeCell ref="E68:F69"/>
    <mergeCell ref="E62:F62"/>
    <mergeCell ref="E63:F63"/>
    <mergeCell ref="E64:F64"/>
    <mergeCell ref="G82:H82"/>
    <mergeCell ref="G83:H83"/>
    <mergeCell ref="G84:H84"/>
    <mergeCell ref="I75:J75"/>
    <mergeCell ref="E80:F80"/>
    <mergeCell ref="E81:F81"/>
    <mergeCell ref="E82:F82"/>
    <mergeCell ref="E83:F83"/>
    <mergeCell ref="E84:F84"/>
    <mergeCell ref="E75:F75"/>
    <mergeCell ref="E76:F76"/>
    <mergeCell ref="E77:F77"/>
    <mergeCell ref="E78:F78"/>
    <mergeCell ref="E79:F79"/>
    <mergeCell ref="G75:H75"/>
    <mergeCell ref="G76:H76"/>
    <mergeCell ref="G77:H77"/>
    <mergeCell ref="G78:H78"/>
    <mergeCell ref="G79:H79"/>
    <mergeCell ref="G80:H80"/>
    <mergeCell ref="G81:H81"/>
    <mergeCell ref="I83:J83"/>
    <mergeCell ref="I84:J84"/>
    <mergeCell ref="P73:Q73"/>
    <mergeCell ref="R73:S73"/>
    <mergeCell ref="N74:O74"/>
    <mergeCell ref="P74:Q74"/>
    <mergeCell ref="I81:J81"/>
    <mergeCell ref="I82:J82"/>
    <mergeCell ref="N73:O73"/>
    <mergeCell ref="N75:O75"/>
    <mergeCell ref="N77:O77"/>
    <mergeCell ref="N79:O79"/>
    <mergeCell ref="N81:O81"/>
    <mergeCell ref="I76:J76"/>
    <mergeCell ref="I77:J77"/>
    <mergeCell ref="I78:J78"/>
    <mergeCell ref="I79:J79"/>
    <mergeCell ref="I80:J80"/>
    <mergeCell ref="P81:Q81"/>
    <mergeCell ref="N82:O82"/>
    <mergeCell ref="P82:Q82"/>
    <mergeCell ref="P79:Q79"/>
    <mergeCell ref="N80:O80"/>
    <mergeCell ref="P95:Q95"/>
    <mergeCell ref="N96:O96"/>
    <mergeCell ref="P96:Q96"/>
    <mergeCell ref="P91:Q91"/>
    <mergeCell ref="N92:O92"/>
    <mergeCell ref="P92:Q92"/>
    <mergeCell ref="N93:O93"/>
    <mergeCell ref="P93:Q93"/>
    <mergeCell ref="R102:S103"/>
    <mergeCell ref="P100:Q100"/>
    <mergeCell ref="P107:S107"/>
    <mergeCell ref="N118:O118"/>
    <mergeCell ref="N119:O120"/>
    <mergeCell ref="N90:O90"/>
    <mergeCell ref="N91:O91"/>
    <mergeCell ref="N94:O94"/>
    <mergeCell ref="N97:O97"/>
    <mergeCell ref="N100:O100"/>
    <mergeCell ref="N113:O113"/>
    <mergeCell ref="N114:O114"/>
    <mergeCell ref="N115:O115"/>
    <mergeCell ref="N116:O116"/>
    <mergeCell ref="N117:O117"/>
    <mergeCell ref="N108:O108"/>
    <mergeCell ref="N109:O109"/>
    <mergeCell ref="N110:O110"/>
    <mergeCell ref="N111:O111"/>
    <mergeCell ref="N112:O112"/>
    <mergeCell ref="P119:S120"/>
    <mergeCell ref="P94:Q94"/>
    <mergeCell ref="N95:O95"/>
    <mergeCell ref="N107:O107"/>
    <mergeCell ref="P90:Q90"/>
    <mergeCell ref="R90:S90"/>
    <mergeCell ref="T37:U37"/>
    <mergeCell ref="N41:O41"/>
    <mergeCell ref="N42:O42"/>
    <mergeCell ref="N43:O43"/>
    <mergeCell ref="N44:O44"/>
    <mergeCell ref="N45:O45"/>
    <mergeCell ref="N46:O46"/>
    <mergeCell ref="E85:F86"/>
    <mergeCell ref="G85:H86"/>
    <mergeCell ref="I85:J86"/>
    <mergeCell ref="P80:Q80"/>
    <mergeCell ref="P77:Q77"/>
    <mergeCell ref="N78:O78"/>
    <mergeCell ref="P78:Q78"/>
    <mergeCell ref="N85:O86"/>
    <mergeCell ref="P85:Q86"/>
    <mergeCell ref="R85:S86"/>
    <mergeCell ref="P83:Q83"/>
    <mergeCell ref="N84:O84"/>
    <mergeCell ref="P84:Q84"/>
    <mergeCell ref="N83:O83"/>
    <mergeCell ref="P75:Q75"/>
    <mergeCell ref="N76:O76"/>
    <mergeCell ref="P76:Q76"/>
    <mergeCell ref="N47:O47"/>
    <mergeCell ref="N48:O48"/>
    <mergeCell ref="N49:O49"/>
    <mergeCell ref="N50:O50"/>
    <mergeCell ref="N51:O51"/>
    <mergeCell ref="N52:O53"/>
    <mergeCell ref="V52:W53"/>
    <mergeCell ref="P40:R40"/>
    <mergeCell ref="P52:R53"/>
    <mergeCell ref="N40:O40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</mergeCells>
  <phoneticPr fontId="1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2026-01-25T19:29:10Z</dcterms:created>
  <dcterms:modified xsi:type="dcterms:W3CDTF">2026-04-01T18:53:56Z</dcterms:modified>
</cp:coreProperties>
</file>